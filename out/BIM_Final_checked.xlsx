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410" windowWidth="29040" windowHeight="15720" tabRatio="600" firstSheet="0" activeTab="0" autoFilterDateGrouping="1"/>
  </bookViews>
  <sheets>
    <sheet name="工作表1" sheetId="1" state="visible" r:id="rId1"/>
    <sheet name="檢核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0.000000"/>
  </numFmts>
  <fonts count="1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b val="1"/>
      <color rgb="FF000000"/>
      <sz val="12"/>
      <u val="singleAccounting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b val="1"/>
      <color rgb="FF000000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i val="1"/>
      <color rgb="FF000000"/>
      <sz val="12"/>
    </font>
    <font>
      <name val="微軟正黑體"/>
      <charset val="136"/>
      <family val="2"/>
      <i val="1"/>
      <color rgb="FF0F9ED5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rgb="FF00B050"/>
      <sz val="12"/>
    </font>
    <font>
      <name val="微軟正黑體"/>
      <charset val="136"/>
      <family val="2"/>
      <color rgb="FF7030A0"/>
      <sz val="12"/>
    </font>
    <font>
      <name val="微軟正黑體"/>
      <charset val="136"/>
      <family val="2"/>
      <b val="1"/>
      <color theme="1"/>
      <sz val="18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i val="1"/>
      <color theme="7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color rgb="FFC00000"/>
      <sz val="12"/>
    </font>
  </fonts>
  <fills count="24">
    <fill>
      <patternFill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7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6" borderId="9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15" applyAlignment="1" pivotButton="0" quotePrefix="0" xfId="0">
      <alignment vertical="center"/>
    </xf>
    <xf numFmtId="38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6" borderId="10" applyAlignment="1" pivotButton="0" quotePrefix="0" xfId="0">
      <alignment vertical="center"/>
    </xf>
    <xf numFmtId="0" fontId="3" fillId="6" borderId="11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4" applyAlignment="1" pivotButton="0" quotePrefix="0" xfId="0">
      <alignment vertical="center"/>
    </xf>
    <xf numFmtId="0" fontId="3" fillId="6" borderId="12" applyAlignment="1" pivotButton="0" quotePrefix="0" xfId="0">
      <alignment vertical="center"/>
    </xf>
    <xf numFmtId="3" fontId="3" fillId="7" borderId="13" applyAlignment="1" pivotButton="0" quotePrefix="0" xfId="0">
      <alignment horizontal="center" vertical="center"/>
    </xf>
    <xf numFmtId="0" fontId="3" fillId="4" borderId="5" applyAlignment="1" pivotButton="0" quotePrefix="0" xfId="0">
      <alignment horizontal="left" vertical="center"/>
    </xf>
    <xf numFmtId="0" fontId="3" fillId="4" borderId="6" applyAlignment="1" pivotButton="0" quotePrefix="0" xfId="0">
      <alignment vertical="center"/>
    </xf>
    <xf numFmtId="0" fontId="3" fillId="7" borderId="13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6" borderId="13" applyAlignment="1" pivotButton="0" quotePrefix="0" xfId="0">
      <alignment horizontal="center" vertical="center"/>
    </xf>
    <xf numFmtId="9" fontId="3" fillId="6" borderId="1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3" fillId="4" borderId="4" applyAlignment="1" pivotButton="0" quotePrefix="0" xfId="0">
      <alignment vertical="center"/>
    </xf>
    <xf numFmtId="0" fontId="3" fillId="8" borderId="13" applyAlignment="1" pivotButton="0" quotePrefix="0" xfId="0">
      <alignment horizontal="center" vertical="center"/>
    </xf>
    <xf numFmtId="0" fontId="3" fillId="9" borderId="13" applyAlignment="1" pivotButton="0" quotePrefix="0" xfId="0">
      <alignment horizontal="center" vertical="center"/>
    </xf>
    <xf numFmtId="0" fontId="3" fillId="6" borderId="1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0" borderId="17" applyAlignment="1" pivotButton="0" quotePrefix="0" xfId="0">
      <alignment horizontal="center" vertical="center"/>
    </xf>
    <xf numFmtId="0" fontId="3" fillId="0" borderId="17" applyAlignment="1" pivotButton="0" quotePrefix="0" xfId="0">
      <alignment vertical="center"/>
    </xf>
    <xf numFmtId="0" fontId="3" fillId="0" borderId="17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2" fillId="0" borderId="2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vertical="center"/>
    </xf>
    <xf numFmtId="0" fontId="10" fillId="0" borderId="2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0" fillId="0" borderId="22" applyAlignment="1" pivotButton="0" quotePrefix="0" xfId="0">
      <alignment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7" fillId="0" borderId="22" applyAlignment="1" pivotButton="0" quotePrefix="0" xfId="0">
      <alignment vertical="center"/>
    </xf>
    <xf numFmtId="0" fontId="7" fillId="0" borderId="18" applyAlignment="1" pivotButton="0" quotePrefix="0" xfId="0">
      <alignment vertical="center"/>
    </xf>
    <xf numFmtId="0" fontId="7" fillId="0" borderId="19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7" fillId="0" borderId="24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3" fillId="0" borderId="21" applyAlignment="1" pivotButton="0" quotePrefix="0" xfId="0">
      <alignment vertical="center"/>
    </xf>
    <xf numFmtId="38" fontId="6" fillId="0" borderId="0" applyAlignment="1" pivotButton="0" quotePrefix="1" xfId="0">
      <alignment vertical="center"/>
    </xf>
    <xf numFmtId="38" fontId="6" fillId="0" borderId="22" applyAlignment="1" pivotButton="0" quotePrefix="0" xfId="0">
      <alignment vertical="center"/>
    </xf>
    <xf numFmtId="38" fontId="12" fillId="0" borderId="22" applyAlignment="1" pivotButton="0" quotePrefix="0" xfId="0">
      <alignment horizontal="center" vertical="center"/>
    </xf>
    <xf numFmtId="164" fontId="16" fillId="0" borderId="0" applyAlignment="1" pivotButton="0" quotePrefix="0" xfId="1">
      <alignment vertical="center"/>
    </xf>
    <xf numFmtId="0" fontId="3" fillId="3" borderId="31" applyAlignment="1" pivotButton="0" quotePrefix="0" xfId="0">
      <alignment horizontal="left" vertical="center"/>
    </xf>
    <xf numFmtId="0" fontId="3" fillId="3" borderId="19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35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4" borderId="33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36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vertical="center"/>
    </xf>
    <xf numFmtId="0" fontId="3" fillId="5" borderId="17" applyAlignment="1" pivotButton="0" quotePrefix="0" xfId="0">
      <alignment horizontal="left" vertical="center"/>
    </xf>
    <xf numFmtId="0" fontId="3" fillId="5" borderId="17" applyAlignment="1" pivotButton="0" quotePrefix="0" xfId="0">
      <alignment vertical="center"/>
    </xf>
    <xf numFmtId="38" fontId="15" fillId="17" borderId="30" applyAlignment="1" pivotButton="0" quotePrefix="0" xfId="0">
      <alignment vertical="center"/>
    </xf>
    <xf numFmtId="38" fontId="15" fillId="17" borderId="1" applyAlignment="1" pivotButton="0" quotePrefix="0" xfId="0">
      <alignment vertical="center"/>
    </xf>
    <xf numFmtId="38" fontId="15" fillId="18" borderId="25" applyAlignment="1" pivotButton="0" quotePrefix="0" xfId="0">
      <alignment horizontal="center" vertical="center"/>
    </xf>
    <xf numFmtId="38" fontId="15" fillId="18" borderId="26" applyAlignment="1" pivotButton="0" quotePrefix="0" xfId="0">
      <alignment horizontal="center" vertical="center"/>
    </xf>
    <xf numFmtId="38" fontId="15" fillId="18" borderId="27" applyAlignment="1" pivotButton="0" quotePrefix="0" xfId="0">
      <alignment horizontal="center" vertical="center"/>
    </xf>
    <xf numFmtId="38" fontId="15" fillId="18" borderId="7" applyAlignment="1" pivotButton="0" quotePrefix="0" xfId="0">
      <alignment vertical="center"/>
    </xf>
    <xf numFmtId="38" fontId="15" fillId="18" borderId="1" applyAlignment="1" pivotButton="0" quotePrefix="0" xfId="0">
      <alignment vertical="center"/>
    </xf>
    <xf numFmtId="38" fontId="15" fillId="18" borderId="8" applyAlignment="1" pivotButton="0" quotePrefix="0" xfId="0">
      <alignment vertical="center"/>
    </xf>
    <xf numFmtId="38" fontId="15" fillId="20" borderId="1" applyAlignment="1" pivotButton="0" quotePrefix="0" xfId="0">
      <alignment vertical="center"/>
    </xf>
    <xf numFmtId="38" fontId="15" fillId="20" borderId="38" applyAlignment="1" pivotButton="0" quotePrefix="0" xfId="0">
      <alignment vertical="center"/>
    </xf>
    <xf numFmtId="0" fontId="3" fillId="14" borderId="21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4" borderId="22" applyAlignment="1" pivotButton="0" quotePrefix="0" xfId="0">
      <alignment vertical="center"/>
    </xf>
    <xf numFmtId="0" fontId="3" fillId="3" borderId="18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3" fillId="3" borderId="41" applyAlignment="1" pivotButton="0" quotePrefix="0" xfId="0">
      <alignment horizontal="left" vertical="center"/>
    </xf>
    <xf numFmtId="0" fontId="3" fillId="4" borderId="42" applyAlignment="1" pivotButton="0" quotePrefix="0" xfId="0">
      <alignment horizontal="left" vertical="center"/>
    </xf>
    <xf numFmtId="0" fontId="3" fillId="4" borderId="21" applyAlignment="1" pivotButton="0" quotePrefix="0" xfId="0">
      <alignment horizontal="left" vertical="center"/>
    </xf>
    <xf numFmtId="0" fontId="3" fillId="4" borderId="41" applyAlignment="1" pivotButton="0" quotePrefix="0" xfId="0">
      <alignment horizontal="left" vertical="center"/>
    </xf>
    <xf numFmtId="0" fontId="3" fillId="5" borderId="21" applyAlignment="1" pivotButton="0" quotePrefix="0" xfId="0">
      <alignment horizontal="left" vertical="center"/>
    </xf>
    <xf numFmtId="0" fontId="3" fillId="5" borderId="23" applyAlignment="1" pivotButton="0" quotePrefix="0" xfId="0">
      <alignment horizontal="left" vertical="center"/>
    </xf>
    <xf numFmtId="49" fontId="6" fillId="0" borderId="0" applyAlignment="1" pivotButton="0" quotePrefix="1" xfId="2">
      <alignment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19" applyAlignment="1" pivotButton="0" quotePrefix="0" xfId="0">
      <alignment horizontal="left" vertical="center"/>
    </xf>
    <xf numFmtId="0" fontId="7" fillId="0" borderId="20" applyAlignment="1" pivotButton="0" quotePrefix="0" xfId="0">
      <alignment vertical="center"/>
    </xf>
    <xf numFmtId="0" fontId="3" fillId="21" borderId="18" applyAlignment="1" pivotButton="0" quotePrefix="0" xfId="0">
      <alignment horizontal="center" vertical="center"/>
    </xf>
    <xf numFmtId="0" fontId="3" fillId="21" borderId="19" applyAlignment="1" pivotButton="0" quotePrefix="0" xfId="0">
      <alignment vertical="center"/>
    </xf>
    <xf numFmtId="0" fontId="3" fillId="21" borderId="19" applyAlignment="1" pivotButton="0" quotePrefix="0" xfId="0">
      <alignment horizontal="left" vertical="center"/>
    </xf>
    <xf numFmtId="0" fontId="7" fillId="21" borderId="19" applyAlignment="1" pivotButton="0" quotePrefix="0" xfId="0">
      <alignment vertical="center"/>
    </xf>
    <xf numFmtId="0" fontId="3" fillId="21" borderId="20" applyAlignment="1" pivotButton="0" quotePrefix="0" xfId="0">
      <alignment vertical="center"/>
    </xf>
    <xf numFmtId="0" fontId="7" fillId="21" borderId="20" applyAlignment="1" pivotButton="0" quotePrefix="0" xfId="0">
      <alignment vertical="center"/>
    </xf>
    <xf numFmtId="38" fontId="6" fillId="21" borderId="19" applyAlignment="1" pivotButton="0" quotePrefix="1" xfId="0">
      <alignment vertical="center"/>
    </xf>
    <xf numFmtId="38" fontId="6" fillId="21" borderId="19" applyAlignment="1" pivotButton="0" quotePrefix="0" xfId="0">
      <alignment vertical="center"/>
    </xf>
    <xf numFmtId="0" fontId="3" fillId="21" borderId="23" applyAlignment="1" pivotButton="0" quotePrefix="0" xfId="0">
      <alignment horizontal="center" vertical="center"/>
    </xf>
    <xf numFmtId="0" fontId="3" fillId="21" borderId="17" applyAlignment="1" pivotButton="0" quotePrefix="0" xfId="0">
      <alignment vertical="center"/>
    </xf>
    <xf numFmtId="0" fontId="3" fillId="21" borderId="17" applyAlignment="1" pivotButton="0" quotePrefix="0" xfId="0">
      <alignment horizontal="left" vertical="center"/>
    </xf>
    <xf numFmtId="0" fontId="7" fillId="21" borderId="17" applyAlignment="1" pivotButton="0" quotePrefix="0" xfId="0">
      <alignment vertical="center"/>
    </xf>
    <xf numFmtId="0" fontId="3" fillId="21" borderId="24" applyAlignment="1" pivotButton="0" quotePrefix="0" xfId="0">
      <alignment vertical="center"/>
    </xf>
    <xf numFmtId="0" fontId="7" fillId="21" borderId="24" applyAlignment="1" pivotButton="0" quotePrefix="0" xfId="0">
      <alignment vertical="center"/>
    </xf>
    <xf numFmtId="38" fontId="6" fillId="21" borderId="17" applyAlignment="1" pivotButton="0" quotePrefix="1" xfId="0">
      <alignment vertical="center"/>
    </xf>
    <xf numFmtId="38" fontId="6" fillId="21" borderId="17" applyAlignment="1" pivotButton="0" quotePrefix="0" xfId="0">
      <alignment vertical="center"/>
    </xf>
    <xf numFmtId="0" fontId="3" fillId="4" borderId="19" applyAlignment="1" pivotButton="0" quotePrefix="0" xfId="0">
      <alignment horizontal="left" vertical="center"/>
    </xf>
    <xf numFmtId="0" fontId="3" fillId="22" borderId="21" applyAlignment="1" pivotButton="0" quotePrefix="0" xfId="0">
      <alignment vertical="center"/>
    </xf>
    <xf numFmtId="0" fontId="3" fillId="22" borderId="0" applyAlignment="1" pivotButton="0" quotePrefix="0" xfId="0">
      <alignment vertical="center"/>
    </xf>
    <xf numFmtId="0" fontId="3" fillId="22" borderId="22" applyAlignment="1" pivotButton="0" quotePrefix="0" xfId="0">
      <alignment vertical="center"/>
    </xf>
    <xf numFmtId="0" fontId="3" fillId="22" borderId="21" applyAlignment="1" pivotButton="0" quotePrefix="0" xfId="0">
      <alignment horizontal="center" vertical="center"/>
    </xf>
    <xf numFmtId="0" fontId="3" fillId="22" borderId="0" applyAlignment="1" pivotButton="0" quotePrefix="0" xfId="0">
      <alignment horizontal="left" vertical="center"/>
    </xf>
    <xf numFmtId="0" fontId="3" fillId="22" borderId="0" applyAlignment="1" pivotButton="0" quotePrefix="0" xfId="0">
      <alignment horizontal="center" vertical="center"/>
    </xf>
    <xf numFmtId="0" fontId="7" fillId="22" borderId="22" applyAlignment="1" pivotButton="0" quotePrefix="0" xfId="0">
      <alignment vertical="center"/>
    </xf>
    <xf numFmtId="0" fontId="3" fillId="22" borderId="23" applyAlignment="1" pivotButton="0" quotePrefix="0" xfId="0">
      <alignment horizontal="center" vertical="center"/>
    </xf>
    <xf numFmtId="0" fontId="3" fillId="22" borderId="17" applyAlignment="1" pivotButton="0" quotePrefix="0" xfId="0">
      <alignment horizontal="left" vertical="center"/>
    </xf>
    <xf numFmtId="0" fontId="3" fillId="22" borderId="17" applyAlignment="1" pivotButton="0" quotePrefix="0" xfId="0">
      <alignment vertical="center"/>
    </xf>
    <xf numFmtId="0" fontId="3" fillId="22" borderId="24" applyAlignment="1" pivotButton="0" quotePrefix="0" xfId="0">
      <alignment vertical="center"/>
    </xf>
    <xf numFmtId="0" fontId="3" fillId="22" borderId="17" applyAlignment="1" pivotButton="0" quotePrefix="0" xfId="0">
      <alignment horizontal="center" vertical="center"/>
    </xf>
    <xf numFmtId="0" fontId="7" fillId="22" borderId="24" applyAlignment="1" pivotButton="0" quotePrefix="0" xfId="0">
      <alignment vertical="center"/>
    </xf>
    <xf numFmtId="9" fontId="14" fillId="23" borderId="16" applyAlignment="1" pivotButton="0" quotePrefix="0" xfId="0">
      <alignment horizontal="center" vertical="center"/>
    </xf>
    <xf numFmtId="3" fontId="3" fillId="6" borderId="13" applyAlignment="1" pivotButton="0" quotePrefix="0" xfId="0">
      <alignment horizontal="center" vertical="center"/>
    </xf>
    <xf numFmtId="0" fontId="0" fillId="0" borderId="0" pivotButton="0" quotePrefix="0" xfId="0"/>
    <xf numFmtId="0" fontId="17" fillId="0" borderId="0" pivotButton="0" quotePrefix="0" xfId="0"/>
    <xf numFmtId="165" fontId="0" fillId="0" borderId="0" pivotButton="0" quotePrefix="0" xfId="0"/>
    <xf numFmtId="0" fontId="18" fillId="0" borderId="0" pivotButton="0" quotePrefix="0" xfId="0"/>
    <xf numFmtId="40" fontId="0" fillId="0" borderId="0" pivotButton="0" quotePrefix="0" xfId="0"/>
    <xf numFmtId="1" fontId="11" fillId="0" borderId="0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17" applyAlignment="1" pivotButton="0" quotePrefix="0" xfId="0">
      <alignment horizontal="left" vertical="center"/>
    </xf>
    <xf numFmtId="0" fontId="11" fillId="0" borderId="17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2" borderId="43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7" pivotButton="0" quotePrefix="0" xfId="0"/>
    <xf numFmtId="38" fontId="15" fillId="17" borderId="4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7" fillId="13" borderId="2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38" fontId="15" fillId="19" borderId="40" applyAlignment="1" pivotButton="0" quotePrefix="0" xfId="0">
      <alignment horizontal="center" vertical="center"/>
    </xf>
    <xf numFmtId="0" fontId="0" fillId="0" borderId="40" pivotButton="0" quotePrefix="0" xfId="0"/>
    <xf numFmtId="0" fontId="7" fillId="10" borderId="47" applyAlignment="1" pivotButton="0" quotePrefix="0" xfId="0">
      <alignment horizontal="center" vertical="center"/>
    </xf>
    <xf numFmtId="0" fontId="15" fillId="17" borderId="45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6" fillId="16" borderId="47" applyAlignment="1" pivotButton="0" quotePrefix="0" xfId="0">
      <alignment horizontal="center" vertical="center"/>
    </xf>
    <xf numFmtId="0" fontId="4" fillId="5" borderId="46" applyAlignment="1" pivotButton="0" quotePrefix="0" xfId="0">
      <alignment horizontal="center" vertical="center"/>
    </xf>
    <xf numFmtId="0" fontId="0" fillId="0" borderId="39" pivotButton="0" quotePrefix="0" xfId="0"/>
    <xf numFmtId="0" fontId="4" fillId="0" borderId="3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8" pivotButton="0" quotePrefix="0" xfId="0"/>
    <xf numFmtId="0" fontId="4" fillId="0" borderId="30" applyAlignment="1" pivotButton="0" quotePrefix="0" xfId="0">
      <alignment horizontal="center" vertical="center"/>
    </xf>
    <xf numFmtId="0" fontId="13" fillId="0" borderId="48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6" fillId="15" borderId="47" applyAlignment="1" pivotButton="0" quotePrefix="0" xfId="0">
      <alignment horizontal="center" vertical="center"/>
    </xf>
    <xf numFmtId="164" fontId="16" fillId="0" borderId="0" applyAlignment="1" pivotButton="0" quotePrefix="0" xfId="1">
      <alignment vertical="center"/>
    </xf>
    <xf numFmtId="165" fontId="0" fillId="0" borderId="0" pivotButton="0" quotePrefix="0" xfId="0"/>
  </cellXfs>
  <cellStyles count="3">
    <cellStyle name="一般" xfId="0" builtinId="0"/>
    <cellStyle name="千分位" xfId="1" builtinId="3"/>
    <cellStyle name="千分位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tabSelected="1" zoomScale="70" zoomScaleNormal="70" workbookViewId="0">
      <pane xSplit="2" ySplit="3" topLeftCell="C30" activePane="bottomRight" state="frozen"/>
      <selection pane="topRight" activeCell="C1" sqref="C1"/>
      <selection pane="bottomLeft" activeCell="A3" sqref="A3"/>
      <selection pane="bottomRight" activeCell="E64" sqref="E64"/>
    </sheetView>
  </sheetViews>
  <sheetFormatPr baseColWidth="8" defaultRowHeight="15.6"/>
  <cols>
    <col width="5.109375" bestFit="1" customWidth="1" style="6" min="1" max="1"/>
    <col width="21.109375" bestFit="1" customWidth="1" style="6" min="2" max="2"/>
    <col width="11.33203125" customWidth="1" style="6" min="3" max="3"/>
    <col width="23.88671875" bestFit="1" customWidth="1" style="6" min="4" max="4"/>
    <col width="30.21875" bestFit="1" customWidth="1" style="6" min="5" max="5"/>
    <col width="11.6640625" customWidth="1" style="6" min="6" max="6"/>
    <col width="24.44140625" bestFit="1" customWidth="1" style="6" min="7" max="7"/>
    <col width="17.88671875" bestFit="1" customWidth="1" style="6" min="8" max="8"/>
    <col width="23.88671875" bestFit="1" customWidth="1" style="6" min="9" max="9"/>
    <col width="23" bestFit="1" customWidth="1" style="6" min="10" max="10"/>
    <col width="6.6640625" bestFit="1" customWidth="1" style="6" min="11" max="11"/>
    <col width="20.44140625" bestFit="1" customWidth="1" style="6" min="12" max="12"/>
    <col width="12.44140625" customWidth="1" style="6" min="13" max="13"/>
    <col width="23.88671875" bestFit="1" customWidth="1" style="6" min="14" max="14"/>
    <col width="23" bestFit="1" customWidth="1" style="6" min="15" max="15"/>
    <col width="8.5546875" bestFit="1" customWidth="1" style="6" min="16" max="16"/>
    <col width="37.6640625" bestFit="1" customWidth="1" style="6" min="17" max="17"/>
    <col width="12.44140625" bestFit="1" customWidth="1" style="6" min="18" max="18"/>
    <col width="23.88671875" bestFit="1" customWidth="1" style="6" min="19" max="19"/>
    <col width="28.21875" bestFit="1" customWidth="1" style="6" min="20" max="20"/>
    <col width="8.88671875" customWidth="1" style="6" min="21" max="21"/>
    <col width="37.6640625" bestFit="1" customWidth="1" style="6" min="22" max="22"/>
    <col width="8.88671875" customWidth="1" style="6" min="23" max="23"/>
    <col width="8.88671875" customWidth="1" style="6" min="24" max="16384"/>
  </cols>
  <sheetData>
    <row r="1" ht="24" customHeight="1" s="134" thickBot="1">
      <c r="C1" s="166" t="inlineStr">
        <is>
          <t>poc</t>
        </is>
      </c>
      <c r="D1" s="167" t="n"/>
      <c r="E1" s="167" t="n"/>
      <c r="F1" s="167" t="n"/>
      <c r="G1" s="167" t="n"/>
      <c r="H1" s="167" t="n"/>
      <c r="I1" s="167" t="n"/>
      <c r="J1" s="167" t="n"/>
      <c r="K1" s="167" t="n"/>
      <c r="L1" s="168" t="n"/>
      <c r="M1" s="166" t="inlineStr">
        <is>
          <t>非POC</t>
        </is>
      </c>
      <c r="N1" s="167" t="n"/>
      <c r="O1" s="167" t="n"/>
      <c r="P1" s="167" t="n"/>
      <c r="Q1" s="167" t="n"/>
      <c r="R1" s="167" t="n"/>
      <c r="S1" s="167" t="n"/>
      <c r="T1" s="167" t="n"/>
      <c r="U1" s="167" t="n"/>
      <c r="V1" s="168" t="n"/>
    </row>
    <row r="2" ht="16.2" customHeight="1" s="134">
      <c r="A2" s="50" t="n"/>
      <c r="B2" s="51" t="n"/>
      <c r="C2" s="155" t="inlineStr">
        <is>
          <t>內案(POC)</t>
        </is>
      </c>
      <c r="D2" s="151" t="n"/>
      <c r="E2" s="151" t="n"/>
      <c r="F2" s="151" t="n"/>
      <c r="G2" s="152" t="n"/>
      <c r="H2" s="150" t="inlineStr">
        <is>
          <t>外案(POC)</t>
        </is>
      </c>
      <c r="I2" s="151" t="n"/>
      <c r="J2" s="151" t="n"/>
      <c r="K2" s="151" t="n"/>
      <c r="L2" s="152" t="n"/>
      <c r="M2" s="159" t="inlineStr">
        <is>
          <t>非POC之內案(雜項)C/99992、C/9999B</t>
        </is>
      </c>
      <c r="N2" s="151" t="n"/>
      <c r="O2" s="151" t="n"/>
      <c r="P2" s="151" t="n"/>
      <c r="Q2" s="152" t="n"/>
      <c r="R2" s="169" t="inlineStr">
        <is>
          <t>非POC之內案(備標)對象為公司業務部 C/99993、C/9999D</t>
        </is>
      </c>
      <c r="S2" s="151" t="n"/>
      <c r="T2" s="151" t="n"/>
      <c r="U2" s="151" t="n"/>
      <c r="V2" s="152" t="n"/>
    </row>
    <row r="3" ht="17.4" customHeight="1" s="134">
      <c r="A3" s="35" t="inlineStr">
        <is>
          <t>No.</t>
        </is>
      </c>
      <c r="B3" s="36" t="inlineStr">
        <is>
          <t>交易性質</t>
        </is>
      </c>
      <c r="C3" s="35" t="inlineStr">
        <is>
          <t>借/貸</t>
        </is>
      </c>
      <c r="D3" s="36" t="inlineStr">
        <is>
          <t>會科代號</t>
        </is>
      </c>
      <c r="E3" s="36" t="inlineStr">
        <is>
          <t>會科名稱</t>
        </is>
      </c>
      <c r="F3" s="36" t="inlineStr">
        <is>
          <t>金額</t>
        </is>
      </c>
      <c r="G3" s="37" t="inlineStr">
        <is>
          <t>備註</t>
        </is>
      </c>
      <c r="H3" s="36" t="inlineStr">
        <is>
          <t>借/貸</t>
        </is>
      </c>
      <c r="I3" s="36" t="inlineStr">
        <is>
          <t>會科代號</t>
        </is>
      </c>
      <c r="J3" s="36" t="inlineStr">
        <is>
          <t>會科名稱</t>
        </is>
      </c>
      <c r="K3" s="36" t="inlineStr">
        <is>
          <t>金額</t>
        </is>
      </c>
      <c r="L3" s="37" t="inlineStr">
        <is>
          <t>備註</t>
        </is>
      </c>
      <c r="M3" s="35" t="inlineStr">
        <is>
          <t>借/貸</t>
        </is>
      </c>
      <c r="N3" s="36" t="inlineStr">
        <is>
          <t>會科代號</t>
        </is>
      </c>
      <c r="O3" s="36" t="inlineStr">
        <is>
          <t>會科名稱</t>
        </is>
      </c>
      <c r="P3" s="36" t="inlineStr">
        <is>
          <t>金額</t>
        </is>
      </c>
      <c r="Q3" s="37" t="inlineStr">
        <is>
          <t>備註</t>
        </is>
      </c>
      <c r="R3" s="35" t="inlineStr">
        <is>
          <t>借/貸</t>
        </is>
      </c>
      <c r="S3" s="36" t="inlineStr">
        <is>
          <t>會科代號</t>
        </is>
      </c>
      <c r="T3" s="36" t="inlineStr">
        <is>
          <t>會科名稱</t>
        </is>
      </c>
      <c r="U3" s="36" t="inlineStr">
        <is>
          <t>金額</t>
        </is>
      </c>
      <c r="V3" s="37" t="inlineStr">
        <is>
          <t>備註</t>
        </is>
      </c>
    </row>
    <row r="4">
      <c r="A4" s="38" t="n">
        <v>1</v>
      </c>
      <c r="B4" s="52" t="inlineStr">
        <is>
          <t>BIM費用入帳</t>
        </is>
      </c>
      <c r="C4" s="38" t="inlineStr">
        <is>
          <t>Dr.</t>
        </is>
      </c>
      <c r="D4" s="8" t="inlineStr">
        <is>
          <t>62xxxxxx</t>
        </is>
      </c>
      <c r="E4" s="1" t="inlineStr">
        <is>
          <t>辦公室費用</t>
        </is>
      </c>
      <c r="F4" s="1">
        <f>$E$82</f>
        <v/>
      </c>
      <c r="G4" s="39" t="n"/>
      <c r="H4" s="7" t="inlineStr">
        <is>
          <t>Dr.</t>
        </is>
      </c>
      <c r="I4" s="8" t="inlineStr">
        <is>
          <t>62xxxxxx</t>
        </is>
      </c>
      <c r="J4" s="1" t="inlineStr">
        <is>
          <t>辦公室費用</t>
        </is>
      </c>
      <c r="K4" s="1">
        <f>$E$82</f>
        <v/>
      </c>
      <c r="L4" s="49" t="n"/>
      <c r="M4" s="38" t="inlineStr">
        <is>
          <t>Dr.</t>
        </is>
      </c>
      <c r="N4" s="8" t="inlineStr">
        <is>
          <t>62xxxxxx</t>
        </is>
      </c>
      <c r="O4" s="1" t="inlineStr">
        <is>
          <t>辦公室費用</t>
        </is>
      </c>
      <c r="P4" s="1">
        <f>$E$82</f>
        <v/>
      </c>
      <c r="Q4" s="49" t="n"/>
      <c r="R4" s="38" t="inlineStr">
        <is>
          <t>Dr.</t>
        </is>
      </c>
      <c r="S4" s="8" t="inlineStr">
        <is>
          <t>62xxxxxx</t>
        </is>
      </c>
      <c r="T4" s="1" t="inlineStr">
        <is>
          <t>辦公室費用</t>
        </is>
      </c>
      <c r="U4" s="1">
        <f>$E$82</f>
        <v/>
      </c>
      <c r="V4" s="49" t="n"/>
    </row>
    <row r="5" customFormat="1" s="42">
      <c r="A5" s="40" t="n"/>
      <c r="C5" s="40" t="inlineStr">
        <is>
          <t>Dr.</t>
        </is>
      </c>
      <c r="D5" s="41" t="n">
        <v>12640000</v>
      </c>
      <c r="E5" s="42" t="inlineStr">
        <is>
          <t>進項稅額</t>
        </is>
      </c>
      <c r="F5" s="42">
        <f>F4*5%</f>
        <v/>
      </c>
      <c r="G5" s="43" t="n"/>
      <c r="H5" s="53" t="inlineStr">
        <is>
          <t>Dr.</t>
        </is>
      </c>
      <c r="I5" s="41" t="n">
        <v>12640000</v>
      </c>
      <c r="J5" s="42" t="inlineStr">
        <is>
          <t>進項稅額</t>
        </is>
      </c>
      <c r="K5" s="42">
        <f>K4*5%</f>
        <v/>
      </c>
      <c r="L5" s="43" t="n"/>
      <c r="M5" s="40" t="inlineStr">
        <is>
          <t>Dr.</t>
        </is>
      </c>
      <c r="N5" s="41" t="n">
        <v>12640000</v>
      </c>
      <c r="O5" s="42" t="inlineStr">
        <is>
          <t>進項稅額</t>
        </is>
      </c>
      <c r="P5" s="42">
        <f>P4*5%</f>
        <v/>
      </c>
      <c r="Q5" s="43" t="n"/>
      <c r="R5" s="40" t="inlineStr">
        <is>
          <t>Dr.</t>
        </is>
      </c>
      <c r="S5" s="41" t="n">
        <v>12640000</v>
      </c>
      <c r="T5" s="42" t="inlineStr">
        <is>
          <t>進項稅額</t>
        </is>
      </c>
      <c r="U5" s="42">
        <f>U4*5%</f>
        <v/>
      </c>
      <c r="V5" s="43" t="n"/>
    </row>
    <row r="6">
      <c r="A6" s="38" t="n"/>
      <c r="B6" s="1" t="n"/>
      <c r="C6" s="38" t="inlineStr">
        <is>
          <t>Cr.</t>
        </is>
      </c>
      <c r="D6" s="8" t="n">
        <v>21430000</v>
      </c>
      <c r="E6" s="1" t="inlineStr">
        <is>
          <t>應付帳款</t>
        </is>
      </c>
      <c r="F6" s="1">
        <f>-(F4+F5)</f>
        <v/>
      </c>
      <c r="G6" s="39" t="n"/>
      <c r="H6" s="7" t="inlineStr">
        <is>
          <t>Cr.</t>
        </is>
      </c>
      <c r="I6" s="8" t="n">
        <v>21430000</v>
      </c>
      <c r="J6" s="1" t="inlineStr">
        <is>
          <t>應付帳款</t>
        </is>
      </c>
      <c r="K6" s="1">
        <f>-(K4+K5)</f>
        <v/>
      </c>
      <c r="L6" s="49" t="n"/>
      <c r="M6" s="38" t="inlineStr">
        <is>
          <t>Cr.</t>
        </is>
      </c>
      <c r="N6" s="8" t="n">
        <v>21430000</v>
      </c>
      <c r="O6" s="1" t="inlineStr">
        <is>
          <t>應付帳款</t>
        </is>
      </c>
      <c r="P6" s="1">
        <f>-(P4+P5)</f>
        <v/>
      </c>
      <c r="Q6" s="49" t="n"/>
      <c r="R6" s="38" t="inlineStr">
        <is>
          <t>Cr.</t>
        </is>
      </c>
      <c r="S6" s="8" t="n">
        <v>21430000</v>
      </c>
      <c r="T6" s="1" t="inlineStr">
        <is>
          <t>應付帳款</t>
        </is>
      </c>
      <c r="U6" s="1">
        <f>-(U4+U5)</f>
        <v/>
      </c>
      <c r="V6" s="49" t="n"/>
    </row>
    <row r="7" ht="16.2" customHeight="1" s="134" thickBot="1">
      <c r="A7" s="44" t="n"/>
      <c r="B7" s="32" t="n"/>
      <c r="C7" s="44" t="n"/>
      <c r="D7" s="33" t="n"/>
      <c r="E7" s="32" t="n"/>
      <c r="F7" s="32" t="n"/>
      <c r="G7" s="45" t="n"/>
      <c r="H7" s="31" t="n"/>
      <c r="I7" s="33" t="n"/>
      <c r="J7" s="32" t="n"/>
      <c r="K7" s="32" t="n"/>
      <c r="L7" s="54" t="n"/>
      <c r="M7" s="44" t="n"/>
      <c r="N7" s="33" t="n"/>
      <c r="O7" s="32" t="n"/>
      <c r="P7" s="32" t="n"/>
      <c r="Q7" s="54" t="n"/>
      <c r="R7" s="44" t="n"/>
      <c r="S7" s="33" t="n"/>
      <c r="T7" s="32" t="n"/>
      <c r="U7" s="32" t="n"/>
      <c r="V7" s="54" t="n"/>
    </row>
    <row r="8">
      <c r="A8" s="38" t="n">
        <v>2</v>
      </c>
      <c r="B8" s="52" t="inlineStr">
        <is>
          <t>BIM費用轉列成本</t>
        </is>
      </c>
      <c r="C8" s="38" t="inlineStr">
        <is>
          <t>Dr.</t>
        </is>
      </c>
      <c r="D8" s="8" t="inlineStr">
        <is>
          <t>63xxxxxx</t>
        </is>
      </c>
      <c r="E8" s="1" t="inlineStr">
        <is>
          <t>工程費用</t>
        </is>
      </c>
      <c r="F8" s="1">
        <f>-F9</f>
        <v/>
      </c>
      <c r="G8" s="39" t="n"/>
      <c r="H8" s="7" t="inlineStr">
        <is>
          <t>Dr.</t>
        </is>
      </c>
      <c r="I8" s="8" t="inlineStr">
        <is>
          <t>63xxxxxx</t>
        </is>
      </c>
      <c r="J8" s="1" t="inlineStr">
        <is>
          <t>工程費用</t>
        </is>
      </c>
      <c r="K8" s="1">
        <f>-K9</f>
        <v/>
      </c>
      <c r="L8" s="49" t="n"/>
      <c r="M8" s="38" t="inlineStr">
        <is>
          <t>Dr.</t>
        </is>
      </c>
      <c r="N8" s="8" t="inlineStr">
        <is>
          <t>55/56xxxxxx</t>
        </is>
      </c>
      <c r="O8" s="1" t="inlineStr">
        <is>
          <t>專案成本</t>
        </is>
      </c>
      <c r="P8" s="1">
        <f>-SUM(P9:P10)</f>
        <v/>
      </c>
      <c r="Q8" s="49" t="inlineStr">
        <is>
          <t>(原作法:成本由管理費用分攤而來)</t>
        </is>
      </c>
      <c r="R8" s="98" t="inlineStr">
        <is>
          <t>Dr.</t>
        </is>
      </c>
      <c r="S8" s="100" t="inlineStr">
        <is>
          <t>55/56xxxxxx</t>
        </is>
      </c>
      <c r="T8" s="99" t="inlineStr">
        <is>
          <t>專案成本</t>
        </is>
      </c>
      <c r="U8" s="99">
        <f>-SUM(U9:U10)</f>
        <v/>
      </c>
      <c r="V8" s="101" t="inlineStr">
        <is>
          <t>(原作法:成本由管理費用分攤而來)</t>
        </is>
      </c>
    </row>
    <row r="9">
      <c r="A9" s="38" t="n"/>
      <c r="B9" s="1" t="n"/>
      <c r="C9" s="38" t="inlineStr">
        <is>
          <t>Cr.</t>
        </is>
      </c>
      <c r="D9" s="8" t="inlineStr">
        <is>
          <t>62xxxxxx</t>
        </is>
      </c>
      <c r="E9" s="1" t="inlineStr">
        <is>
          <t>辦公室費用</t>
        </is>
      </c>
      <c r="F9" s="1">
        <f>-F4</f>
        <v/>
      </c>
      <c r="G9" s="39" t="n"/>
      <c r="H9" s="7" t="inlineStr">
        <is>
          <t>Cr.</t>
        </is>
      </c>
      <c r="I9" s="8" t="inlineStr">
        <is>
          <t>62xxxxxx</t>
        </is>
      </c>
      <c r="J9" s="1" t="inlineStr">
        <is>
          <t>辦公室費用</t>
        </is>
      </c>
      <c r="K9" s="1">
        <f>-K4</f>
        <v/>
      </c>
      <c r="L9" s="49" t="n"/>
      <c r="M9" s="38" t="inlineStr">
        <is>
          <t>Cr.</t>
        </is>
      </c>
      <c r="N9" s="8" t="n">
        <v>62109999</v>
      </c>
      <c r="O9" s="1" t="inlineStr">
        <is>
          <t>人事分攤</t>
        </is>
      </c>
      <c r="P9" s="1" t="n">
        <v>-80</v>
      </c>
      <c r="Q9" s="49" t="n"/>
      <c r="R9" s="38" t="inlineStr">
        <is>
          <t>Cr.</t>
        </is>
      </c>
      <c r="S9" s="8" t="n">
        <v>62109999</v>
      </c>
      <c r="T9" s="1" t="inlineStr">
        <is>
          <t>人事費用-分攤</t>
        </is>
      </c>
      <c r="U9" s="1" t="n">
        <v>-80</v>
      </c>
      <c r="V9" s="49" t="n"/>
    </row>
    <row r="10">
      <c r="A10" s="38" t="n"/>
      <c r="C10" s="38" t="n"/>
      <c r="D10" s="8" t="n"/>
      <c r="E10" s="1" t="n"/>
      <c r="F10" s="1" t="n"/>
      <c r="G10" s="39" t="n"/>
      <c r="H10" s="7" t="n"/>
      <c r="I10" s="8" t="n"/>
      <c r="J10" s="1" t="n"/>
      <c r="K10" s="1" t="n"/>
      <c r="L10" s="49" t="n"/>
      <c r="M10" s="38" t="inlineStr">
        <is>
          <t>Cr.</t>
        </is>
      </c>
      <c r="N10" s="8" t="n">
        <v>62350099</v>
      </c>
      <c r="O10" s="1" t="inlineStr">
        <is>
          <t>電腦out charge</t>
        </is>
      </c>
      <c r="P10" s="1" t="n">
        <v>-20</v>
      </c>
      <c r="Q10" s="49" t="n"/>
      <c r="R10" s="38" t="inlineStr">
        <is>
          <t>Cr.</t>
        </is>
      </c>
      <c r="S10" s="58" t="n">
        <v>62350099</v>
      </c>
      <c r="T10" s="58" t="inlineStr">
        <is>
          <t>電腦費用-Out Charge</t>
        </is>
      </c>
      <c r="U10" s="1" t="n">
        <v>-20</v>
      </c>
      <c r="V10" s="49" t="n"/>
    </row>
    <row r="11">
      <c r="A11" s="38" t="n"/>
      <c r="C11" s="38" t="n"/>
      <c r="D11" s="8" t="n"/>
      <c r="E11" s="1" t="n"/>
      <c r="F11" s="1" t="n"/>
      <c r="G11" s="39" t="n"/>
      <c r="H11" s="7" t="n"/>
      <c r="I11" s="8" t="n"/>
      <c r="J11" s="1" t="n"/>
      <c r="K11" s="1" t="n"/>
      <c r="L11" s="49" t="n"/>
      <c r="M11" s="38" t="n"/>
      <c r="N11" s="8" t="n"/>
      <c r="O11" s="1" t="n"/>
      <c r="P11" s="1" t="n"/>
      <c r="Q11" s="49" t="n"/>
      <c r="R11" s="38" t="n"/>
      <c r="S11" s="8" t="n"/>
      <c r="T11" s="1" t="n"/>
      <c r="U11" s="1" t="n"/>
      <c r="V11" s="49" t="n"/>
    </row>
    <row r="12">
      <c r="A12" s="38" t="n"/>
      <c r="B12" s="55" t="inlineStr">
        <is>
          <t>ELIA內部沖銷</t>
        </is>
      </c>
      <c r="C12" s="119" t="n"/>
      <c r="D12" s="120" t="n"/>
      <c r="E12" s="120" t="n"/>
      <c r="F12" s="120" t="n"/>
      <c r="G12" s="121" t="n"/>
      <c r="H12" s="120" t="n"/>
      <c r="I12" s="120" t="n"/>
      <c r="J12" s="120" t="n"/>
      <c r="K12" s="120" t="n"/>
      <c r="L12" s="121" t="n"/>
      <c r="M12" s="119" t="n"/>
      <c r="N12" s="120" t="n"/>
      <c r="O12" s="120" t="n"/>
      <c r="P12" s="120" t="n"/>
      <c r="Q12" s="121" t="n"/>
      <c r="R12" s="38" t="inlineStr">
        <is>
          <t>Dr.</t>
        </is>
      </c>
      <c r="S12" s="8" t="n">
        <v>62109999</v>
      </c>
      <c r="T12" s="1" t="inlineStr">
        <is>
          <t>人事費用-分攤</t>
        </is>
      </c>
      <c r="U12" s="1">
        <f>-U9</f>
        <v/>
      </c>
      <c r="V12" s="49" t="inlineStr">
        <is>
          <t>備標沖銷</t>
        </is>
      </c>
    </row>
    <row r="13">
      <c r="A13" s="38" t="n"/>
      <c r="B13" s="1" t="n"/>
      <c r="C13" s="119" t="n"/>
      <c r="D13" s="120" t="n"/>
      <c r="E13" s="120" t="n"/>
      <c r="F13" s="120" t="n"/>
      <c r="G13" s="121" t="n"/>
      <c r="H13" s="120" t="n"/>
      <c r="I13" s="120" t="n"/>
      <c r="J13" s="120" t="n"/>
      <c r="K13" s="120" t="n"/>
      <c r="L13" s="121" t="n"/>
      <c r="M13" s="119" t="n"/>
      <c r="N13" s="120" t="n"/>
      <c r="O13" s="120" t="n"/>
      <c r="P13" s="120" t="n"/>
      <c r="Q13" s="121" t="n"/>
      <c r="R13" s="38" t="inlineStr">
        <is>
          <t>Cr.</t>
        </is>
      </c>
      <c r="S13" s="8" t="inlineStr">
        <is>
          <t>55/56xxxxxx</t>
        </is>
      </c>
      <c r="T13" s="1" t="inlineStr">
        <is>
          <t>專案成本</t>
        </is>
      </c>
      <c r="U13" s="6">
        <f>-U12</f>
        <v/>
      </c>
      <c r="V13" s="49" t="inlineStr">
        <is>
          <t>55110099承攬工程成本-人事費</t>
        </is>
      </c>
    </row>
    <row r="14">
      <c r="A14" s="38" t="n"/>
      <c r="B14" s="1" t="n"/>
      <c r="C14" s="122" t="n"/>
      <c r="D14" s="123" t="n"/>
      <c r="E14" s="120" t="n"/>
      <c r="F14" s="120" t="n"/>
      <c r="G14" s="121" t="n"/>
      <c r="H14" s="124" t="n"/>
      <c r="I14" s="123" t="n"/>
      <c r="J14" s="120" t="n"/>
      <c r="K14" s="120" t="n"/>
      <c r="L14" s="125" t="n"/>
      <c r="M14" s="122" t="n"/>
      <c r="N14" s="123" t="n"/>
      <c r="O14" s="120" t="n"/>
      <c r="P14" s="120" t="n"/>
      <c r="Q14" s="125" t="n"/>
      <c r="R14" s="38" t="inlineStr">
        <is>
          <t>Dr.</t>
        </is>
      </c>
      <c r="S14" s="58" t="n">
        <v>62350099</v>
      </c>
      <c r="T14" s="58" t="inlineStr">
        <is>
          <t>電腦費用-Out Charge</t>
        </is>
      </c>
      <c r="U14" s="1">
        <f>-U10</f>
        <v/>
      </c>
      <c r="V14" s="49" t="inlineStr">
        <is>
          <t>備標沖銷</t>
        </is>
      </c>
    </row>
    <row r="15" ht="16.2" customHeight="1" s="134" thickBot="1">
      <c r="A15" s="44" t="n"/>
      <c r="B15" s="32" t="n"/>
      <c r="C15" s="126" t="n"/>
      <c r="D15" s="127" t="n"/>
      <c r="E15" s="128" t="n"/>
      <c r="F15" s="128" t="n"/>
      <c r="G15" s="129" t="n"/>
      <c r="H15" s="130" t="n"/>
      <c r="I15" s="127" t="n"/>
      <c r="J15" s="128" t="n"/>
      <c r="K15" s="128" t="n"/>
      <c r="L15" s="131" t="n"/>
      <c r="M15" s="126" t="n"/>
      <c r="N15" s="127" t="n"/>
      <c r="O15" s="128" t="n"/>
      <c r="P15" s="128" t="n"/>
      <c r="Q15" s="131" t="n"/>
      <c r="R15" s="44" t="inlineStr">
        <is>
          <t>Cr.</t>
        </is>
      </c>
      <c r="S15" s="33" t="inlineStr">
        <is>
          <t>55/56xxxxxx</t>
        </is>
      </c>
      <c r="T15" s="32" t="inlineStr">
        <is>
          <t>專案成本</t>
        </is>
      </c>
      <c r="U15" s="34">
        <f>-U14</f>
        <v/>
      </c>
      <c r="V15" s="54" t="inlineStr">
        <is>
          <t>55110098承攬工程成本-非人事</t>
        </is>
      </c>
    </row>
    <row r="16">
      <c r="A16" s="38" t="n">
        <v>3</v>
      </c>
      <c r="B16" s="52" t="inlineStr">
        <is>
          <t>BIM月底結轉在建</t>
        </is>
      </c>
      <c r="C16" s="38" t="inlineStr">
        <is>
          <t>Dr.</t>
        </is>
      </c>
      <c r="D16" s="8" t="n">
        <v>12400000</v>
      </c>
      <c r="E16" s="1" t="inlineStr">
        <is>
          <t>在建工程</t>
        </is>
      </c>
      <c r="F16" s="1">
        <f>-F17</f>
        <v/>
      </c>
      <c r="G16" s="39" t="n"/>
      <c r="H16" s="7" t="inlineStr">
        <is>
          <t>Dr.</t>
        </is>
      </c>
      <c r="I16" s="8" t="n">
        <v>12400000</v>
      </c>
      <c r="J16" s="1" t="inlineStr">
        <is>
          <t>在建工程</t>
        </is>
      </c>
      <c r="K16" s="1">
        <f>-K17</f>
        <v/>
      </c>
      <c r="L16" s="49" t="n"/>
      <c r="M16" s="86" t="n"/>
      <c r="N16" s="87" t="n"/>
      <c r="O16" s="87" t="n"/>
      <c r="P16" s="87" t="n"/>
      <c r="Q16" s="88" t="n"/>
      <c r="R16" s="86" t="n"/>
      <c r="S16" s="87" t="n"/>
      <c r="T16" s="87" t="n"/>
      <c r="U16" s="87" t="n"/>
      <c r="V16" s="88" t="n"/>
    </row>
    <row r="17">
      <c r="A17" s="38" t="n"/>
      <c r="B17" s="1" t="inlineStr">
        <is>
          <t>(CJ88)</t>
        </is>
      </c>
      <c r="C17" s="38" t="inlineStr">
        <is>
          <t>Cr.</t>
        </is>
      </c>
      <c r="D17" s="8" t="n">
        <v>63810030</v>
      </c>
      <c r="E17" s="1" t="inlineStr">
        <is>
          <t>工程費用轉在建工程</t>
        </is>
      </c>
      <c r="F17" s="1">
        <f>-F8</f>
        <v/>
      </c>
      <c r="G17" s="39" t="n"/>
      <c r="H17" s="7" t="inlineStr">
        <is>
          <t>Cr.</t>
        </is>
      </c>
      <c r="I17" s="8" t="n">
        <v>63810030</v>
      </c>
      <c r="J17" s="1" t="inlineStr">
        <is>
          <t>工程費用轉在建工程</t>
        </is>
      </c>
      <c r="K17" s="1">
        <f>-K8</f>
        <v/>
      </c>
      <c r="L17" s="49" t="n"/>
      <c r="M17" s="86" t="n"/>
      <c r="N17" s="87" t="n"/>
      <c r="O17" s="87" t="n"/>
      <c r="P17" s="87" t="n"/>
      <c r="Q17" s="88" t="n"/>
      <c r="R17" s="86" t="n"/>
      <c r="S17" s="87" t="n"/>
      <c r="T17" s="87" t="n"/>
      <c r="U17" s="87" t="n"/>
      <c r="V17" s="88" t="n"/>
    </row>
    <row r="18">
      <c r="A18" s="38" t="n"/>
      <c r="B18" s="1" t="n"/>
      <c r="C18" s="38" t="n"/>
      <c r="D18" s="8" t="n"/>
      <c r="E18" s="1" t="n"/>
      <c r="F18" s="1" t="n"/>
      <c r="G18" s="39" t="n"/>
      <c r="H18" s="7" t="n"/>
      <c r="I18" s="8" t="n"/>
      <c r="J18" s="1" t="n"/>
      <c r="K18" s="1" t="n"/>
      <c r="L18" s="49" t="n"/>
      <c r="M18" s="38" t="n"/>
      <c r="N18" s="8" t="n"/>
      <c r="O18" s="1" t="n"/>
      <c r="P18" s="1" t="n"/>
      <c r="Q18" s="49" t="n"/>
      <c r="R18" s="59" t="n"/>
      <c r="S18" s="1" t="n"/>
      <c r="T18" s="7" t="n"/>
      <c r="V18" s="49" t="n"/>
    </row>
    <row r="19" ht="16.2" customHeight="1" s="134" thickBot="1">
      <c r="A19" s="44" t="n"/>
      <c r="B19" s="32" t="n"/>
      <c r="C19" s="44" t="n"/>
      <c r="D19" s="33" t="n"/>
      <c r="E19" s="32" t="n"/>
      <c r="F19" s="32" t="n"/>
      <c r="G19" s="45" t="n"/>
      <c r="H19" s="31" t="n"/>
      <c r="I19" s="33" t="n"/>
      <c r="J19" s="32" t="n"/>
      <c r="K19" s="32" t="n"/>
      <c r="L19" s="54" t="n"/>
      <c r="M19" s="44" t="n"/>
      <c r="N19" s="33" t="n"/>
      <c r="O19" s="32" t="n"/>
      <c r="P19" s="32" t="n"/>
      <c r="Q19" s="54" t="n"/>
      <c r="R19" s="57" t="n"/>
      <c r="S19" s="34" t="n"/>
      <c r="T19" s="34" t="n"/>
      <c r="U19" s="34" t="n"/>
      <c r="V19" s="54" t="n"/>
    </row>
    <row r="20">
      <c r="A20" s="38" t="n">
        <v>4</v>
      </c>
      <c r="B20" s="52" t="inlineStr">
        <is>
          <t>BIM完工百分比</t>
        </is>
      </c>
      <c r="C20" s="38" t="inlineStr">
        <is>
          <t>Dr.</t>
        </is>
      </c>
      <c r="D20" s="8" t="n">
        <v>55110000</v>
      </c>
      <c r="E20" s="1" t="inlineStr">
        <is>
          <t>承攬工程成本</t>
        </is>
      </c>
      <c r="F20" s="1">
        <f>F8</f>
        <v/>
      </c>
      <c r="G20" s="39" t="n"/>
      <c r="H20" s="7" t="inlineStr">
        <is>
          <t>Dr.</t>
        </is>
      </c>
      <c r="I20" s="8" t="n">
        <v>55110000</v>
      </c>
      <c r="J20" s="1" t="inlineStr">
        <is>
          <t>承攬工程成本</t>
        </is>
      </c>
      <c r="K20" s="1">
        <f>K8</f>
        <v/>
      </c>
      <c r="L20" s="49" t="n"/>
      <c r="M20" s="86" t="n"/>
      <c r="N20" s="87" t="n"/>
      <c r="O20" s="87" t="n"/>
      <c r="P20" s="87" t="n"/>
      <c r="Q20" s="88" t="n"/>
      <c r="R20" s="86" t="n"/>
      <c r="S20" s="87" t="n"/>
      <c r="T20" s="87" t="n"/>
      <c r="U20" s="87" t="n"/>
      <c r="V20" s="88" t="n"/>
    </row>
    <row r="21">
      <c r="A21" s="38" t="n"/>
      <c r="B21" s="1" t="inlineStr">
        <is>
          <t>損益認列</t>
        </is>
      </c>
      <c r="C21" s="38" t="inlineStr">
        <is>
          <t>Dr.</t>
        </is>
      </c>
      <c r="D21" s="8" t="n">
        <v>12470000</v>
      </c>
      <c r="E21" s="1" t="inlineStr">
        <is>
          <t>在建損益-承攬案</t>
        </is>
      </c>
      <c r="F21" s="46">
        <f>-F22-F20</f>
        <v/>
      </c>
      <c r="G21" s="39" t="n"/>
      <c r="H21" s="7" t="inlineStr">
        <is>
          <t>Dr.</t>
        </is>
      </c>
      <c r="I21" s="8" t="n">
        <v>12470000</v>
      </c>
      <c r="J21" s="1" t="inlineStr">
        <is>
          <t>在建損益-承攬案</t>
        </is>
      </c>
      <c r="K21" s="46">
        <f>-K22-K20</f>
        <v/>
      </c>
      <c r="L21" s="49" t="n"/>
      <c r="M21" s="86" t="n"/>
      <c r="N21" s="87" t="n"/>
      <c r="O21" s="87" t="n"/>
      <c r="P21" s="87" t="n"/>
      <c r="Q21" s="88" t="n"/>
      <c r="R21" s="86" t="n"/>
      <c r="S21" s="87" t="n"/>
      <c r="T21" s="87" t="n"/>
      <c r="U21" s="87" t="n"/>
      <c r="V21" s="88" t="n"/>
    </row>
    <row r="22">
      <c r="A22" s="38" t="n"/>
      <c r="B22" s="1" t="n"/>
      <c r="C22" s="38" t="inlineStr">
        <is>
          <t>Cr.</t>
        </is>
      </c>
      <c r="D22" s="8" t="n">
        <v>45110000</v>
      </c>
      <c r="E22" s="1" t="inlineStr">
        <is>
          <t>承攬工程收入</t>
        </is>
      </c>
      <c r="F22" s="46">
        <f>-F20/(1-$E$80)</f>
        <v/>
      </c>
      <c r="G22" s="39" t="n"/>
      <c r="H22" s="7" t="inlineStr">
        <is>
          <t>Cr.</t>
        </is>
      </c>
      <c r="I22" s="8" t="n">
        <v>45110000</v>
      </c>
      <c r="J22" s="1" t="inlineStr">
        <is>
          <t>承攬工程收入</t>
        </is>
      </c>
      <c r="K22" s="46">
        <f>-K20/(1-$E$80)</f>
        <v/>
      </c>
      <c r="L22" s="49" t="n"/>
      <c r="M22" s="86" t="n"/>
      <c r="N22" s="87" t="n"/>
      <c r="O22" s="87" t="n"/>
      <c r="P22" s="87" t="n"/>
      <c r="Q22" s="88" t="n"/>
      <c r="R22" s="86" t="n"/>
      <c r="S22" s="87" t="n"/>
      <c r="T22" s="87" t="n"/>
      <c r="U22" s="87" t="n"/>
      <c r="V22" s="88" t="n"/>
    </row>
    <row r="23">
      <c r="A23" s="38" t="n"/>
      <c r="B23" s="1" t="n"/>
      <c r="C23" s="38" t="n"/>
      <c r="D23" s="8" t="n"/>
      <c r="E23" s="1" t="n"/>
      <c r="F23" s="1" t="n"/>
      <c r="G23" s="39" t="n"/>
      <c r="H23" s="1" t="n"/>
      <c r="I23" s="1" t="n"/>
      <c r="J23" s="7" t="n"/>
      <c r="K23" s="1" t="n"/>
      <c r="L23" s="49" t="n"/>
      <c r="M23" s="56" t="n"/>
      <c r="Q23" s="49" t="n"/>
      <c r="R23" s="56" t="n"/>
      <c r="V23" s="49" t="n"/>
    </row>
    <row r="24">
      <c r="A24" s="38" t="n"/>
      <c r="B24" s="55" t="inlineStr">
        <is>
          <t>ELIA內部沖銷</t>
        </is>
      </c>
      <c r="C24" s="38" t="inlineStr">
        <is>
          <t>Dr.</t>
        </is>
      </c>
      <c r="D24" s="8" t="n">
        <v>45110000</v>
      </c>
      <c r="E24" s="1" t="inlineStr">
        <is>
          <t>承攬工程收入</t>
        </is>
      </c>
      <c r="F24" s="46">
        <f>-F22</f>
        <v/>
      </c>
      <c r="G24" s="39" t="n"/>
      <c r="H24" s="87" t="n"/>
      <c r="I24" s="87" t="n"/>
      <c r="J24" s="87" t="n"/>
      <c r="K24" s="87" t="n"/>
      <c r="L24" s="88" t="n"/>
      <c r="M24" s="86" t="n"/>
      <c r="N24" s="87" t="n"/>
      <c r="O24" s="87" t="n"/>
      <c r="P24" s="87" t="n"/>
      <c r="Q24" s="88" t="n"/>
      <c r="R24" s="86" t="n"/>
      <c r="S24" s="87" t="n"/>
      <c r="T24" s="87" t="n"/>
      <c r="U24" s="87" t="n"/>
      <c r="V24" s="88" t="n"/>
    </row>
    <row r="25">
      <c r="A25" s="38" t="n"/>
      <c r="B25" s="1" t="inlineStr">
        <is>
          <t>TBU無分錄</t>
        </is>
      </c>
      <c r="C25" s="38" t="inlineStr">
        <is>
          <t>Cr.</t>
        </is>
      </c>
      <c r="D25" s="47" t="n">
        <v>12470000</v>
      </c>
      <c r="E25" s="48" t="inlineStr">
        <is>
          <t>在建損益-承攬案</t>
        </is>
      </c>
      <c r="F25" s="139">
        <f>-F21</f>
        <v/>
      </c>
      <c r="G25" s="39" t="n"/>
      <c r="H25" s="87" t="n"/>
      <c r="I25" s="87" t="n"/>
      <c r="J25" s="87" t="n"/>
      <c r="K25" s="87" t="n"/>
      <c r="L25" s="88" t="n"/>
      <c r="M25" s="86" t="n"/>
      <c r="N25" s="87" t="n"/>
      <c r="O25" s="87" t="n"/>
      <c r="P25" s="87" t="n"/>
      <c r="Q25" s="88" t="n"/>
      <c r="R25" s="86" t="n"/>
      <c r="S25" s="87" t="n"/>
      <c r="T25" s="87" t="n"/>
      <c r="U25" s="87" t="n"/>
      <c r="V25" s="88" t="n"/>
    </row>
    <row r="26">
      <c r="A26" s="38" t="n"/>
      <c r="B26" s="1" t="inlineStr">
        <is>
          <t>屬單邊沖銷</t>
        </is>
      </c>
      <c r="C26" s="38" t="inlineStr">
        <is>
          <t>Cr.</t>
        </is>
      </c>
      <c r="D26" s="8" t="n">
        <v>55110000</v>
      </c>
      <c r="E26" s="1" t="inlineStr">
        <is>
          <t>承攬工程成本</t>
        </is>
      </c>
      <c r="F26" s="1">
        <f>-F20</f>
        <v/>
      </c>
      <c r="G26" s="39" t="n"/>
      <c r="H26" s="87" t="n"/>
      <c r="I26" s="87" t="n"/>
      <c r="J26" s="87" t="n"/>
      <c r="K26" s="87" t="n"/>
      <c r="L26" s="88" t="n"/>
      <c r="M26" s="86" t="n"/>
      <c r="N26" s="87" t="n"/>
      <c r="O26" s="87" t="n"/>
      <c r="P26" s="87" t="n"/>
      <c r="Q26" s="88" t="n"/>
      <c r="R26" s="86" t="n"/>
      <c r="S26" s="87" t="n"/>
      <c r="T26" s="87" t="n"/>
      <c r="U26" s="87" t="n"/>
      <c r="V26" s="88" t="n"/>
    </row>
    <row r="27">
      <c r="A27" s="38" t="n"/>
      <c r="B27" s="1" t="n"/>
      <c r="C27" s="38" t="n"/>
      <c r="D27" s="8" t="n"/>
      <c r="E27" s="1" t="n"/>
      <c r="F27" s="1" t="n"/>
      <c r="G27" s="39" t="n"/>
      <c r="H27" s="1" t="n"/>
      <c r="I27" s="1" t="n"/>
      <c r="J27" s="7" t="n"/>
      <c r="K27" s="1" t="n"/>
      <c r="L27" s="49" t="n"/>
      <c r="M27" s="56" t="n"/>
      <c r="Q27" s="49" t="n"/>
      <c r="R27" s="56" t="n"/>
      <c r="V27" s="49" t="n"/>
    </row>
    <row r="28" ht="16.2" customHeight="1" s="134" thickBot="1">
      <c r="A28" s="44" t="n"/>
      <c r="B28" s="32" t="n"/>
      <c r="C28" s="140" t="inlineStr">
        <is>
          <t>此資產對全公司來說是「跟自己賺的錢」,不存在</t>
        </is>
      </c>
      <c r="D28" s="141" t="n"/>
      <c r="E28" s="142" t="n"/>
      <c r="F28" s="142" t="n"/>
      <c r="G28" s="45" t="n"/>
      <c r="H28" s="32" t="n"/>
      <c r="I28" s="32" t="n"/>
      <c r="J28" s="31" t="n"/>
      <c r="K28" s="32" t="n"/>
      <c r="L28" s="54" t="n"/>
      <c r="M28" s="57" t="n"/>
      <c r="N28" s="34" t="n"/>
      <c r="O28" s="34" t="n"/>
      <c r="P28" s="34" t="n"/>
      <c r="Q28" s="54" t="n"/>
      <c r="R28" s="57" t="n"/>
      <c r="S28" s="34" t="n"/>
      <c r="T28" s="34" t="n"/>
      <c r="U28" s="34" t="n"/>
      <c r="V28" s="54" t="n"/>
    </row>
    <row r="29">
      <c r="A29" s="38" t="n">
        <v>5</v>
      </c>
      <c r="B29" s="52" t="inlineStr">
        <is>
          <t>虧損專案</t>
        </is>
      </c>
      <c r="C29" s="38" t="inlineStr">
        <is>
          <t>Dr.</t>
        </is>
      </c>
      <c r="D29" s="8" t="n">
        <v>55110006</v>
      </c>
      <c r="E29" s="143" t="inlineStr">
        <is>
          <t>成本-負債準備</t>
        </is>
      </c>
      <c r="F29" s="143">
        <f>$E$81</f>
        <v/>
      </c>
      <c r="G29" s="39" t="n"/>
      <c r="H29" s="38" t="inlineStr">
        <is>
          <t>Dr.</t>
        </is>
      </c>
      <c r="I29" s="8" t="n">
        <v>55110006</v>
      </c>
      <c r="J29" s="143" t="inlineStr">
        <is>
          <t>成本-負債準備</t>
        </is>
      </c>
      <c r="K29" s="143">
        <f>$E$81</f>
        <v/>
      </c>
      <c r="L29" s="49" t="n"/>
      <c r="M29" s="86" t="n"/>
      <c r="N29" s="87" t="n"/>
      <c r="O29" s="87" t="n"/>
      <c r="P29" s="87" t="n"/>
      <c r="Q29" s="88" t="n"/>
      <c r="R29" s="86" t="n"/>
      <c r="S29" s="87" t="n"/>
      <c r="T29" s="87" t="n"/>
      <c r="U29" s="87" t="n"/>
      <c r="V29" s="88" t="n"/>
    </row>
    <row r="30">
      <c r="A30" s="38" t="n"/>
      <c r="B30" s="1" t="n"/>
      <c r="C30" s="38" t="inlineStr">
        <is>
          <t>Cr.</t>
        </is>
      </c>
      <c r="D30" s="8" t="n">
        <v>25600020</v>
      </c>
      <c r="E30" s="143" t="inlineStr">
        <is>
          <t>負債準備</t>
        </is>
      </c>
      <c r="F30" s="143">
        <f>-F29</f>
        <v/>
      </c>
      <c r="G30" s="39" t="n"/>
      <c r="H30" s="38" t="inlineStr">
        <is>
          <t>Cr.</t>
        </is>
      </c>
      <c r="I30" s="8" t="n">
        <v>25600020</v>
      </c>
      <c r="J30" s="143" t="inlineStr">
        <is>
          <t>負債準備</t>
        </is>
      </c>
      <c r="K30" s="143">
        <f>-K29</f>
        <v/>
      </c>
      <c r="L30" s="49" t="n"/>
      <c r="M30" s="86" t="n"/>
      <c r="N30" s="87" t="n"/>
      <c r="O30" s="87" t="n"/>
      <c r="P30" s="87" t="n"/>
      <c r="Q30" s="88" t="n"/>
      <c r="R30" s="86" t="n"/>
      <c r="S30" s="87" t="n"/>
      <c r="T30" s="87" t="n"/>
      <c r="U30" s="87" t="n"/>
      <c r="V30" s="88" t="n"/>
    </row>
    <row r="31">
      <c r="A31" s="38" t="n"/>
      <c r="C31" s="38" t="n"/>
      <c r="D31" s="8" t="n"/>
      <c r="E31" s="8" t="n"/>
      <c r="F31" s="1" t="n"/>
      <c r="G31" s="39" t="n"/>
      <c r="H31" s="1" t="n"/>
      <c r="I31" s="1" t="n"/>
      <c r="J31" s="7" t="n"/>
      <c r="K31" s="1" t="n"/>
      <c r="L31" s="49" t="n"/>
      <c r="M31" s="56" t="n"/>
      <c r="Q31" s="49" t="n"/>
      <c r="R31" s="56" t="n"/>
      <c r="V31" s="49" t="n"/>
    </row>
    <row r="32" ht="16.2" customHeight="1" s="134" thickBot="1">
      <c r="A32" s="44" t="n"/>
      <c r="B32" s="32" t="n"/>
      <c r="C32" s="44" t="n"/>
      <c r="D32" s="33" t="n"/>
      <c r="E32" s="33" t="n"/>
      <c r="F32" s="32" t="n"/>
      <c r="G32" s="45" t="n"/>
      <c r="H32" s="32" t="n"/>
      <c r="I32" s="32" t="n"/>
      <c r="J32" s="31" t="n"/>
      <c r="K32" s="32" t="n"/>
      <c r="L32" s="54" t="n"/>
      <c r="M32" s="57" t="n"/>
      <c r="N32" s="34" t="n"/>
      <c r="O32" s="34" t="n"/>
      <c r="P32" s="34" t="n"/>
      <c r="Q32" s="54" t="n"/>
      <c r="R32" s="56" t="n"/>
      <c r="V32" s="49" t="n"/>
    </row>
    <row r="33">
      <c r="A33" s="38" t="n">
        <v>6</v>
      </c>
      <c r="B33" s="52" t="inlineStr">
        <is>
          <t>BIM開立業主發票</t>
        </is>
      </c>
      <c r="C33" s="38" t="inlineStr">
        <is>
          <t>Dr.</t>
        </is>
      </c>
      <c r="D33" s="118" t="n">
        <v>11430000</v>
      </c>
      <c r="E33" s="8" t="inlineStr">
        <is>
          <t>公司內部往來-TO &amp; BIM</t>
        </is>
      </c>
      <c r="F33" s="6">
        <f>$E$83</f>
        <v/>
      </c>
      <c r="G33" s="49" t="inlineStr">
        <is>
          <t>(B/S往來視為AR應收帳款)</t>
        </is>
      </c>
      <c r="H33" s="7" t="inlineStr">
        <is>
          <t>Dr.</t>
        </is>
      </c>
      <c r="I33" s="8" t="n">
        <v>11430000</v>
      </c>
      <c r="J33" s="8" t="inlineStr">
        <is>
          <t>應收帳款</t>
        </is>
      </c>
      <c r="K33" s="1">
        <f>-SUM(K34:K35)</f>
        <v/>
      </c>
      <c r="L33" s="49" t="inlineStr">
        <is>
          <t>(真實應收)</t>
        </is>
      </c>
      <c r="M33" s="38" t="inlineStr">
        <is>
          <t>Dr.</t>
        </is>
      </c>
      <c r="N33" s="118" t="n">
        <v>11430000</v>
      </c>
      <c r="O33" s="8" t="inlineStr">
        <is>
          <t>公司內部往來-TO &amp; BIM</t>
        </is>
      </c>
      <c r="P33" s="6">
        <f>$E$83</f>
        <v/>
      </c>
      <c r="Q33" s="49" t="inlineStr">
        <is>
          <t>(B/S往來視為AR應收帳款)</t>
        </is>
      </c>
      <c r="R33" s="98" t="inlineStr">
        <is>
          <t>Dr.</t>
        </is>
      </c>
      <c r="S33" s="118" t="n">
        <v>11430000</v>
      </c>
      <c r="T33" s="100" t="inlineStr">
        <is>
          <t>公司內部往來-TO &amp; BIM</t>
        </is>
      </c>
      <c r="U33" s="51">
        <f>$E$83</f>
        <v/>
      </c>
      <c r="V33" s="101" t="inlineStr">
        <is>
          <t>(B/S往來視為AR應收帳款)</t>
        </is>
      </c>
    </row>
    <row r="34">
      <c r="A34" s="38" t="n"/>
      <c r="B34" s="1" t="inlineStr">
        <is>
          <t>BIM認列收入</t>
        </is>
      </c>
      <c r="C34" s="38" t="inlineStr">
        <is>
          <t>Cr.</t>
        </is>
      </c>
      <c r="D34" s="8" t="n">
        <v>22640000</v>
      </c>
      <c r="E34" s="8" t="inlineStr">
        <is>
          <t>預收工程款</t>
        </is>
      </c>
      <c r="F34" s="6">
        <f>-F33</f>
        <v/>
      </c>
      <c r="G34" s="49" t="n"/>
      <c r="H34" s="7" t="inlineStr">
        <is>
          <t>Cr.</t>
        </is>
      </c>
      <c r="I34" s="8" t="n">
        <v>22640000</v>
      </c>
      <c r="J34" s="8" t="inlineStr">
        <is>
          <t>預收工程款</t>
        </is>
      </c>
      <c r="K34" s="1">
        <f>-$E83</f>
        <v/>
      </c>
      <c r="L34" s="49" t="n"/>
      <c r="M34" s="38" t="inlineStr">
        <is>
          <t>Cr.</t>
        </is>
      </c>
      <c r="N34" s="8" t="inlineStr">
        <is>
          <t>46110050</t>
        </is>
      </c>
      <c r="O34" s="8" t="inlineStr">
        <is>
          <t>勞務收入-內部計價</t>
        </is>
      </c>
      <c r="P34" s="6">
        <f>-P33</f>
        <v/>
      </c>
      <c r="Q34" s="49" t="n"/>
      <c r="R34" s="38" t="inlineStr">
        <is>
          <t>Cr.</t>
        </is>
      </c>
      <c r="S34" s="8" t="inlineStr">
        <is>
          <t>46110050</t>
        </is>
      </c>
      <c r="T34" s="8" t="inlineStr">
        <is>
          <t>勞務收入-內部計價</t>
        </is>
      </c>
      <c r="U34" s="6">
        <f>-U33</f>
        <v/>
      </c>
      <c r="V34" s="49" t="n"/>
    </row>
    <row r="35">
      <c r="A35" s="38" t="n"/>
      <c r="B35" s="1" t="n"/>
      <c r="C35" s="38" t="inlineStr">
        <is>
          <t>Cr.</t>
        </is>
      </c>
      <c r="D35" s="8" t="n">
        <v>22140000</v>
      </c>
      <c r="E35" s="8" t="inlineStr">
        <is>
          <t>銷項稅額</t>
        </is>
      </c>
      <c r="G35" s="49" t="n"/>
      <c r="H35" s="7" t="inlineStr">
        <is>
          <t>Cr.</t>
        </is>
      </c>
      <c r="I35" s="41" t="n">
        <v>22140000</v>
      </c>
      <c r="J35" s="41" t="inlineStr">
        <is>
          <t>銷項稅額</t>
        </is>
      </c>
      <c r="K35" s="42">
        <f>K34*0.05</f>
        <v/>
      </c>
      <c r="L35" s="49" t="n"/>
      <c r="M35" s="38" t="n"/>
      <c r="N35" s="8" t="n"/>
      <c r="O35" s="8" t="n"/>
      <c r="Q35" s="49" t="n"/>
      <c r="R35" s="56" t="n"/>
      <c r="V35" s="49" t="n"/>
    </row>
    <row r="36" ht="16.2" customHeight="1" s="134" thickBot="1">
      <c r="A36" s="38" t="n"/>
      <c r="B36" s="1" t="n"/>
      <c r="C36" s="38" t="n"/>
      <c r="D36" s="8" t="n"/>
      <c r="E36" s="8" t="n"/>
      <c r="F36" s="1" t="n"/>
      <c r="G36" s="39" t="n"/>
      <c r="H36" s="1" t="n"/>
      <c r="I36" s="1" t="n"/>
      <c r="J36" s="7" t="n"/>
      <c r="K36" s="1" t="n"/>
      <c r="L36" s="49" t="n"/>
      <c r="M36" s="56" t="n"/>
      <c r="Q36" s="49" t="n"/>
      <c r="R36" s="56" t="n"/>
      <c r="V36" s="49" t="n"/>
    </row>
    <row r="37">
      <c r="A37" s="102" t="n"/>
      <c r="B37" s="103" t="inlineStr">
        <is>
          <t>TBU認列成本</t>
        </is>
      </c>
      <c r="C37" s="102" t="inlineStr">
        <is>
          <t>Dr.</t>
        </is>
      </c>
      <c r="D37" s="104" t="inlineStr">
        <is>
          <t>63670100</t>
        </is>
      </c>
      <c r="E37" s="104" t="inlineStr">
        <is>
          <t>工程工務所費用-其他費用</t>
        </is>
      </c>
      <c r="F37" s="105">
        <f>$E$83</f>
        <v/>
      </c>
      <c r="G37" s="106" t="n"/>
      <c r="H37" s="103" t="n"/>
      <c r="I37" s="103" t="n"/>
      <c r="J37" s="103" t="n"/>
      <c r="K37" s="103" t="n"/>
      <c r="L37" s="106" t="n"/>
      <c r="M37" s="102" t="inlineStr">
        <is>
          <t>Dr.</t>
        </is>
      </c>
      <c r="N37" s="104" t="inlineStr">
        <is>
          <t>63670100</t>
        </is>
      </c>
      <c r="O37" s="104" t="inlineStr">
        <is>
          <t>工程工務所費用-其他費用</t>
        </is>
      </c>
      <c r="P37" s="105">
        <f>$E$83</f>
        <v/>
      </c>
      <c r="Q37" s="107" t="n"/>
      <c r="R37" s="102" t="inlineStr">
        <is>
          <t>Dr.</t>
        </is>
      </c>
      <c r="S37" s="108" t="inlineStr">
        <is>
          <t>62370030</t>
        </is>
      </c>
      <c r="T37" s="109" t="inlineStr">
        <is>
          <t>勞務費-其他</t>
        </is>
      </c>
      <c r="U37" s="105">
        <f>$E$83</f>
        <v/>
      </c>
      <c r="V37" s="107" t="n"/>
    </row>
    <row r="38" ht="16.2" customHeight="1" s="134" thickBot="1">
      <c r="A38" s="110" t="n"/>
      <c r="B38" s="111" t="n"/>
      <c r="C38" s="110" t="inlineStr">
        <is>
          <t>Cr.</t>
        </is>
      </c>
      <c r="D38" s="112" t="inlineStr">
        <is>
          <t>12872012</t>
        </is>
      </c>
      <c r="E38" s="112" t="inlineStr">
        <is>
          <t>公司內部往來-TO &amp; BIM</t>
        </is>
      </c>
      <c r="F38" s="113">
        <f>-F37</f>
        <v/>
      </c>
      <c r="G38" s="114" t="n"/>
      <c r="H38" s="111" t="n"/>
      <c r="I38" s="111" t="n"/>
      <c r="J38" s="111" t="n"/>
      <c r="K38" s="111" t="n"/>
      <c r="L38" s="114" t="n"/>
      <c r="M38" s="110" t="inlineStr">
        <is>
          <t>Cr.</t>
        </is>
      </c>
      <c r="N38" s="112" t="inlineStr">
        <is>
          <t>12872012</t>
        </is>
      </c>
      <c r="O38" s="112" t="inlineStr">
        <is>
          <t>公司內部往來-TO &amp; BIM</t>
        </is>
      </c>
      <c r="P38" s="113">
        <f>-P37</f>
        <v/>
      </c>
      <c r="Q38" s="115" t="n"/>
      <c r="R38" s="110" t="inlineStr">
        <is>
          <t>Cr.</t>
        </is>
      </c>
      <c r="S38" s="116" t="inlineStr">
        <is>
          <t>12872012</t>
        </is>
      </c>
      <c r="T38" s="117" t="inlineStr">
        <is>
          <t>公司內部往來-TO &amp; BIM</t>
        </is>
      </c>
      <c r="U38" s="113">
        <f>-U37</f>
        <v/>
      </c>
      <c r="V38" s="115" t="n"/>
    </row>
    <row r="39">
      <c r="A39" s="38" t="n"/>
      <c r="B39" s="1" t="n"/>
      <c r="C39" s="38" t="n"/>
      <c r="D39" s="8" t="n"/>
      <c r="E39" s="8" t="n"/>
      <c r="F39" s="1" t="n"/>
      <c r="G39" s="39" t="n"/>
      <c r="H39" s="1" t="n"/>
      <c r="I39" s="1" t="n"/>
      <c r="J39" s="7" t="n"/>
      <c r="K39" s="1" t="n"/>
      <c r="L39" s="49" t="n"/>
      <c r="M39" s="56" t="n"/>
      <c r="Q39" s="49" t="n"/>
      <c r="R39" s="56" t="n"/>
      <c r="V39" s="49" t="n"/>
    </row>
    <row r="40">
      <c r="A40" s="38" t="n"/>
      <c r="B40" s="55" t="inlineStr">
        <is>
          <t>ELIA內部沖銷</t>
        </is>
      </c>
      <c r="C40" s="38" t="inlineStr">
        <is>
          <t>Dr.</t>
        </is>
      </c>
      <c r="D40" s="8" t="n">
        <v>22640000</v>
      </c>
      <c r="E40" s="8" t="inlineStr">
        <is>
          <t>預收工程款</t>
        </is>
      </c>
      <c r="F40" s="1">
        <f>-F34</f>
        <v/>
      </c>
      <c r="G40" s="39" t="n"/>
      <c r="H40" s="87" t="n"/>
      <c r="I40" s="87" t="n"/>
      <c r="J40" s="87" t="n"/>
      <c r="K40" s="87" t="n"/>
      <c r="L40" s="88" t="n"/>
      <c r="M40" s="38" t="inlineStr">
        <is>
          <t>Dr.</t>
        </is>
      </c>
      <c r="N40" s="8" t="inlineStr">
        <is>
          <t>46110050</t>
        </is>
      </c>
      <c r="O40" s="5" t="inlineStr">
        <is>
          <t>勞務收入-內部計價</t>
        </is>
      </c>
      <c r="P40" s="1">
        <f>-P34</f>
        <v/>
      </c>
      <c r="Q40" s="49" t="n"/>
      <c r="R40" s="38" t="inlineStr">
        <is>
          <t>Dr.</t>
        </is>
      </c>
      <c r="S40" s="60" t="inlineStr">
        <is>
          <t>46110050</t>
        </is>
      </c>
      <c r="T40" s="5" t="inlineStr">
        <is>
          <t>勞務收入-內部計價</t>
        </is>
      </c>
      <c r="U40" s="1">
        <f>-U34</f>
        <v/>
      </c>
      <c r="V40" s="61" t="n"/>
    </row>
    <row r="41">
      <c r="A41" s="38" t="n"/>
      <c r="B41" s="1" t="n"/>
      <c r="C41" s="38" t="inlineStr">
        <is>
          <t>Cr.</t>
        </is>
      </c>
      <c r="D41" s="8" t="inlineStr">
        <is>
          <t>55110095</t>
        </is>
      </c>
      <c r="E41" s="8" t="inlineStr">
        <is>
          <t>承攬工程成本-其他</t>
        </is>
      </c>
      <c r="F41" s="1">
        <f>-F40</f>
        <v/>
      </c>
      <c r="G41" s="39" t="n"/>
      <c r="H41" s="87" t="n"/>
      <c r="I41" s="87" t="n"/>
      <c r="J41" s="87" t="n"/>
      <c r="K41" s="87" t="n"/>
      <c r="L41" s="88" t="n"/>
      <c r="M41" s="38" t="inlineStr">
        <is>
          <t>Cr.</t>
        </is>
      </c>
      <c r="N41" s="8" t="inlineStr">
        <is>
          <t>55110095</t>
        </is>
      </c>
      <c r="O41" s="8" t="inlineStr">
        <is>
          <t>承攬工程成本-其他</t>
        </is>
      </c>
      <c r="P41" s="1">
        <f>-P40</f>
        <v/>
      </c>
      <c r="Q41" s="49" t="n"/>
      <c r="R41" s="38" t="inlineStr">
        <is>
          <t>Cr.</t>
        </is>
      </c>
      <c r="S41" s="97" t="inlineStr">
        <is>
          <t>62370099</t>
        </is>
      </c>
      <c r="T41" s="5" t="inlineStr">
        <is>
          <t>勞務費-收回投標費</t>
        </is>
      </c>
      <c r="U41" s="1">
        <f>-U40</f>
        <v/>
      </c>
      <c r="V41" s="62" t="n"/>
    </row>
    <row r="42">
      <c r="A42" s="38" t="n"/>
      <c r="B42" s="1" t="n"/>
      <c r="C42" s="38" t="n"/>
      <c r="D42" s="8" t="n"/>
      <c r="E42" s="8" t="n"/>
      <c r="F42" s="1" t="n"/>
      <c r="G42" s="39" t="n"/>
      <c r="H42" s="1" t="n"/>
      <c r="I42" s="1" t="n"/>
      <c r="J42" s="7" t="n"/>
      <c r="K42" s="1" t="n"/>
      <c r="L42" s="49" t="n"/>
      <c r="M42" s="56" t="n"/>
      <c r="Q42" s="49" t="n"/>
      <c r="R42" s="56" t="n"/>
      <c r="V42" s="49" t="n"/>
    </row>
    <row r="43" ht="16.2" customHeight="1" s="134" thickBot="1">
      <c r="A43" s="44" t="n"/>
      <c r="B43" s="32" t="n"/>
      <c r="C43" s="44" t="n"/>
      <c r="D43" s="33" t="n"/>
      <c r="E43" s="33" t="n"/>
      <c r="F43" s="32" t="n"/>
      <c r="G43" s="45" t="n"/>
      <c r="H43" s="32" t="n"/>
      <c r="I43" s="32" t="n"/>
      <c r="J43" s="31" t="n"/>
      <c r="K43" s="32" t="n"/>
      <c r="L43" s="54" t="n"/>
      <c r="M43" s="57" t="n"/>
      <c r="N43" s="34" t="n"/>
      <c r="O43" s="34" t="n"/>
      <c r="P43" s="34" t="n"/>
      <c r="Q43" s="54" t="n"/>
      <c r="R43" s="57" t="n"/>
      <c r="S43" s="34" t="n"/>
      <c r="T43" s="34" t="n"/>
      <c r="U43" s="34" t="n"/>
      <c r="V43" s="54" t="n"/>
    </row>
    <row r="44">
      <c r="A44" s="38" t="n">
        <v>7</v>
      </c>
      <c r="B44" s="52" t="inlineStr">
        <is>
          <t>BIM支付AP</t>
        </is>
      </c>
      <c r="C44" s="38" t="inlineStr">
        <is>
          <t>Dr.</t>
        </is>
      </c>
      <c r="D44" s="8" t="n">
        <v>21430000</v>
      </c>
      <c r="E44" s="8" t="inlineStr">
        <is>
          <t>應付帳款</t>
        </is>
      </c>
      <c r="F44" s="1">
        <f>-F6</f>
        <v/>
      </c>
      <c r="G44" s="39" t="n"/>
      <c r="H44" s="7" t="inlineStr">
        <is>
          <t>Dr.</t>
        </is>
      </c>
      <c r="I44" s="8" t="n">
        <v>21430000</v>
      </c>
      <c r="J44" s="8" t="inlineStr">
        <is>
          <t>應付帳款</t>
        </is>
      </c>
      <c r="K44" s="1">
        <f>-K6</f>
        <v/>
      </c>
      <c r="L44" s="49" t="n"/>
      <c r="M44" s="38" t="inlineStr">
        <is>
          <t>Dr.</t>
        </is>
      </c>
      <c r="N44" s="8" t="n">
        <v>21430000</v>
      </c>
      <c r="O44" s="8" t="inlineStr">
        <is>
          <t>應付帳款</t>
        </is>
      </c>
      <c r="P44" s="1">
        <f>-P6</f>
        <v/>
      </c>
      <c r="Q44" s="49" t="n"/>
      <c r="R44" s="38" t="inlineStr">
        <is>
          <t>Dr.</t>
        </is>
      </c>
      <c r="S44" s="8" t="n">
        <v>21430000</v>
      </c>
      <c r="T44" s="8" t="inlineStr">
        <is>
          <t>應付帳款</t>
        </is>
      </c>
      <c r="U44" s="1">
        <f>-U6</f>
        <v/>
      </c>
      <c r="V44" s="49" t="n"/>
    </row>
    <row r="45">
      <c r="A45" s="38" t="n"/>
      <c r="B45" s="1" t="n"/>
      <c r="C45" s="38" t="inlineStr">
        <is>
          <t>Cr.</t>
        </is>
      </c>
      <c r="D45" s="8" t="inlineStr">
        <is>
          <t>1103xxxx</t>
        </is>
      </c>
      <c r="E45" s="8" t="inlineStr">
        <is>
          <t>銀行存款</t>
        </is>
      </c>
      <c r="F45" s="1">
        <f>-F44</f>
        <v/>
      </c>
      <c r="G45" s="39" t="n"/>
      <c r="H45" s="7" t="inlineStr">
        <is>
          <t>Cr.</t>
        </is>
      </c>
      <c r="I45" s="8" t="inlineStr">
        <is>
          <t>1103xxxx</t>
        </is>
      </c>
      <c r="J45" s="8" t="inlineStr">
        <is>
          <t>銀行存款</t>
        </is>
      </c>
      <c r="K45" s="1">
        <f>-K44</f>
        <v/>
      </c>
      <c r="L45" s="49" t="n"/>
      <c r="M45" s="38" t="inlineStr">
        <is>
          <t>Cr.</t>
        </is>
      </c>
      <c r="N45" s="8" t="inlineStr">
        <is>
          <t>1103xxxx</t>
        </is>
      </c>
      <c r="O45" s="8" t="inlineStr">
        <is>
          <t>銀行存款</t>
        </is>
      </c>
      <c r="P45" s="1">
        <f>-P44</f>
        <v/>
      </c>
      <c r="Q45" s="49" t="n"/>
      <c r="R45" s="38" t="inlineStr">
        <is>
          <t>Cr.</t>
        </is>
      </c>
      <c r="S45" s="8" t="inlineStr">
        <is>
          <t>1103xxxx</t>
        </is>
      </c>
      <c r="T45" s="8" t="inlineStr">
        <is>
          <t>銀行存款</t>
        </is>
      </c>
      <c r="U45" s="1">
        <f>-U44</f>
        <v/>
      </c>
      <c r="V45" s="49" t="n"/>
    </row>
    <row r="46" ht="16.2" customHeight="1" s="134" thickBot="1">
      <c r="A46" s="44" t="n"/>
      <c r="B46" s="32" t="n"/>
      <c r="C46" s="44" t="n"/>
      <c r="D46" s="33" t="n"/>
      <c r="E46" s="33" t="n"/>
      <c r="F46" s="32" t="n"/>
      <c r="G46" s="45" t="n"/>
      <c r="H46" s="32" t="n"/>
      <c r="I46" s="32" t="n"/>
      <c r="J46" s="31" t="n"/>
      <c r="K46" s="32" t="n"/>
      <c r="L46" s="54" t="n"/>
      <c r="M46" s="57" t="n"/>
      <c r="N46" s="34" t="n"/>
      <c r="O46" s="34" t="n"/>
      <c r="P46" s="34" t="n"/>
      <c r="Q46" s="54" t="n"/>
      <c r="R46" s="57" t="n"/>
      <c r="S46" s="34" t="n"/>
      <c r="T46" s="34" t="n"/>
      <c r="U46" s="34" t="n"/>
      <c r="V46" s="54" t="n"/>
    </row>
    <row r="47">
      <c r="A47" s="38" t="n">
        <v>8</v>
      </c>
      <c r="B47" s="52" t="inlineStr">
        <is>
          <t>BIM收取AR</t>
        </is>
      </c>
      <c r="C47" s="38" t="inlineStr">
        <is>
          <t>Dr.</t>
        </is>
      </c>
      <c r="D47" s="8" t="inlineStr">
        <is>
          <t>1103xxxx</t>
        </is>
      </c>
      <c r="E47" s="8" t="inlineStr">
        <is>
          <t>銀行存款</t>
        </is>
      </c>
      <c r="F47" s="87" t="n"/>
      <c r="G47" s="39" t="n"/>
      <c r="H47" s="7" t="inlineStr">
        <is>
          <t>Dr.</t>
        </is>
      </c>
      <c r="I47" s="8" t="inlineStr">
        <is>
          <t>1103xxxx</t>
        </is>
      </c>
      <c r="J47" s="8" t="inlineStr">
        <is>
          <t>銀行存款</t>
        </is>
      </c>
      <c r="K47" s="1">
        <f>-K48</f>
        <v/>
      </c>
      <c r="L47" s="39" t="n"/>
      <c r="M47" s="86" t="n"/>
      <c r="N47" s="87" t="n"/>
      <c r="O47" s="87" t="n"/>
      <c r="P47" s="87" t="n"/>
      <c r="Q47" s="88" t="n"/>
      <c r="R47" s="86" t="n"/>
      <c r="S47" s="87" t="n"/>
      <c r="T47" s="87" t="n"/>
      <c r="U47" s="87" t="n"/>
      <c r="V47" s="88" t="n"/>
    </row>
    <row r="48">
      <c r="A48" s="38" t="n"/>
      <c r="B48" s="1" t="n"/>
      <c r="C48" s="38" t="inlineStr">
        <is>
          <t>Cr.</t>
        </is>
      </c>
      <c r="D48" s="8" t="n">
        <v>11430000</v>
      </c>
      <c r="E48" s="8" t="inlineStr">
        <is>
          <t>應收帳款</t>
        </is>
      </c>
      <c r="F48" s="87" t="n"/>
      <c r="G48" s="39" t="n"/>
      <c r="H48" s="7" t="inlineStr">
        <is>
          <t>Cr.</t>
        </is>
      </c>
      <c r="I48" s="8" t="n">
        <v>11430000</v>
      </c>
      <c r="J48" s="8" t="inlineStr">
        <is>
          <t>應收帳款</t>
        </is>
      </c>
      <c r="K48" s="1">
        <f>-K33</f>
        <v/>
      </c>
      <c r="L48" s="39" t="n"/>
      <c r="M48" s="86" t="n"/>
      <c r="N48" s="87" t="n"/>
      <c r="O48" s="87" t="n"/>
      <c r="P48" s="87" t="n"/>
      <c r="Q48" s="88" t="n"/>
      <c r="R48" s="86" t="n"/>
      <c r="S48" s="87" t="n"/>
      <c r="T48" s="87" t="n"/>
      <c r="U48" s="87" t="n"/>
      <c r="V48" s="88" t="n"/>
    </row>
    <row r="49" ht="16.2" customHeight="1" s="134" thickBot="1">
      <c r="A49" s="44" t="n"/>
      <c r="B49" s="32" t="n"/>
      <c r="C49" s="44" t="n"/>
      <c r="D49" s="33" t="n"/>
      <c r="E49" s="32" t="n"/>
      <c r="F49" s="32" t="n"/>
      <c r="G49" s="45" t="n"/>
      <c r="H49" s="32" t="n"/>
      <c r="I49" s="31" t="n"/>
      <c r="J49" s="31" t="n"/>
      <c r="K49" s="32" t="n"/>
      <c r="L49" s="54" t="n"/>
      <c r="M49" s="57" t="n"/>
      <c r="N49" s="34" t="n"/>
      <c r="O49" s="34" t="n"/>
      <c r="P49" s="34" t="n"/>
      <c r="Q49" s="54" t="n"/>
      <c r="R49" s="57" t="n"/>
      <c r="S49" s="34" t="n"/>
      <c r="T49" s="34" t="n"/>
      <c r="U49" s="34" t="n"/>
      <c r="V49" s="54" t="n"/>
    </row>
    <row r="50">
      <c r="A50" s="7" t="n"/>
      <c r="B50" s="1" t="n"/>
      <c r="C50" s="7" t="n"/>
      <c r="D50" s="8" t="n"/>
      <c r="E50" s="1" t="n"/>
      <c r="F50" s="1" t="n"/>
      <c r="G50" s="1" t="n"/>
      <c r="H50" s="1" t="n"/>
      <c r="I50" s="7" t="n"/>
      <c r="J50" s="7" t="n"/>
      <c r="K50" s="1" t="n"/>
    </row>
    <row r="51" ht="16.2" customHeight="1" s="134" thickBot="1">
      <c r="A51" s="7" t="n"/>
      <c r="B51" s="1" t="n"/>
      <c r="C51" s="7" t="n"/>
      <c r="D51" s="8" t="n"/>
      <c r="E51" s="1" t="n"/>
      <c r="F51" s="1" t="n"/>
      <c r="G51" s="1" t="n"/>
      <c r="H51" s="1" t="n"/>
      <c r="I51" s="7" t="n"/>
      <c r="J51" s="7" t="n"/>
      <c r="K51" s="1" t="n"/>
    </row>
    <row r="52">
      <c r="A52" s="144" t="inlineStr">
        <is>
          <t>期末總結</t>
        </is>
      </c>
      <c r="B52" s="165" t="inlineStr">
        <is>
          <t>B/S</t>
        </is>
      </c>
      <c r="C52" s="64" t="n">
        <v>12400000</v>
      </c>
      <c r="D52" s="65" t="inlineStr">
        <is>
          <t>在建工程</t>
        </is>
      </c>
      <c r="E52" s="76">
        <f>SUMIF($D$4:$D$10,$C52,$F$4:$F$10)+SUMIF($D$16:$D$22,$C52,$F$16:$F$22)+SUMIF($D$33:$D$35,$C52,$F$33:$F$35)+SUMIF($D$44:$D$48,$C52,$F$44:$F$48)+SUMIF($D$29:$D$30,$C52,$F$29:$F$30)</f>
        <v/>
      </c>
      <c r="F52" s="147">
        <f>SUM(E52:E54)</f>
        <v/>
      </c>
      <c r="G52" s="156">
        <f>IF(F52&gt;0,"應收建造合約款","應付建造合約款")</f>
        <v/>
      </c>
      <c r="H52" s="64" t="n">
        <v>12400000</v>
      </c>
      <c r="I52" s="65" t="inlineStr">
        <is>
          <t>在建工程</t>
        </is>
      </c>
      <c r="J52" s="76">
        <f>SUMIF($I$4:$I$10,$H52,$K$4:$K$10)+SUMIF($I$16:$I$22,$H52,$K$16:$K$22)+SUMIF($I$33:$I$35,$H52,$K$33:$K$35)+SUMIF($I$44:$I$48,$H52,$K$44:$K$48)+SUMIF($I$29:$I$30,$H52,$K$29:$K$30)</f>
        <v/>
      </c>
      <c r="K52" s="147">
        <f>SUM(J52:J54)</f>
        <v/>
      </c>
      <c r="L52" s="156">
        <f>IF(K52&gt;0,"應收建造合約款","應付建造合約款")</f>
        <v/>
      </c>
      <c r="M52" s="89" t="n">
        <v>12400000</v>
      </c>
      <c r="N52" s="65" t="inlineStr">
        <is>
          <t>在建工程</t>
        </is>
      </c>
      <c r="O52" s="76">
        <f>SUMIF($N$4:$N$10,$M52,$P$4:$P$10)+SUMIF($N$16:$N$22,$M52,$P$16:$P$22)+SUMIF($N$33:$N$35,$M52,$P$33:$P$35)+SUMIF($N$44:$N$48,$M52,$P$44:$P$48)+SUMIF($N$29:$N$30,$M52,$P$29:$P$30)</f>
        <v/>
      </c>
      <c r="P52" s="147">
        <f>SUM(O52:O54)</f>
        <v/>
      </c>
      <c r="Q52" s="156">
        <f>IF(P52&gt;0,"應收建造合約款","應付建造合約款")</f>
        <v/>
      </c>
      <c r="R52" s="89" t="n">
        <v>12400000</v>
      </c>
      <c r="S52" s="65" t="inlineStr">
        <is>
          <t>在建工程</t>
        </is>
      </c>
      <c r="T52" s="76">
        <f>SUMIF($S$4:$S$10,$R52,$U$4:$U$10)+SUMIF($S$16:$S$22,$R52,$U$16:$U$22)+SUMIF($S$33:$S$35,$R52,$U$33:$U$35)+SUMIF($S$44:$S$48,$R52,$U$44:$U$48)+SUMIF($S$29:$S$30,$R52,$U$29:$U$30)</f>
        <v/>
      </c>
      <c r="U52" s="147">
        <f>SUM(T52:T54)</f>
        <v/>
      </c>
      <c r="V52" s="156">
        <f>IF(U52&gt;0,"應收建造合約款","應付建造合約款")</f>
        <v/>
      </c>
    </row>
    <row r="53">
      <c r="A53" s="145" t="n"/>
      <c r="B53" s="163" t="n"/>
      <c r="C53" s="9" t="n">
        <v>12470000</v>
      </c>
      <c r="D53" s="66" t="inlineStr">
        <is>
          <t>在建損益-承攬案</t>
        </is>
      </c>
      <c r="E53" s="77">
        <f>SUMIF($D$4:$D$10,$C53,$F$4:$F$10)+SUMIF($D$16:$D$22,$C53,$F$16:$F$22)+SUMIF($D$33:$D$35,$C53,$F$33:$F$35)+SUMIF($D$44:$D$48,$C53,$F$44:$F$48)+SUMIF($D$29:$D$30,$C53,$F$29:$F$30)</f>
        <v/>
      </c>
      <c r="F53" s="148" t="n"/>
      <c r="G53" s="157" t="n"/>
      <c r="H53" s="9" t="n">
        <v>12470000</v>
      </c>
      <c r="I53" s="66" t="inlineStr">
        <is>
          <t>在建損益-承攬案</t>
        </is>
      </c>
      <c r="J53" s="77">
        <f>SUMIF($I$4:$I$10,$H53,$K$4:$K$10)+SUMIF($I$16:$I$22,$H53,$K$16:$K$22)+SUMIF($I$33:$I$35,$H53,$K$33:$K$35)+SUMIF($I$44:$I$48,$H53,$K$44:$K$48)+SUMIF($I$29:$I$30,$H53,$K$29:$K$30)</f>
        <v/>
      </c>
      <c r="K53" s="148" t="n"/>
      <c r="L53" s="157" t="n"/>
      <c r="M53" s="90" t="n">
        <v>12470000</v>
      </c>
      <c r="N53" s="66" t="inlineStr">
        <is>
          <t>在建損益-承攬案</t>
        </is>
      </c>
      <c r="O53" s="77">
        <f>SUMIF($N$4:$N$10,$M53,$P$4:$P$10)+SUMIF($N$16:$N$22,$M53,$P$16:$P$22)+SUMIF($N$33:$N$35,$M53,$P$33:$P$35)+SUMIF($N$44:$N$48,$M53,$P$44:$P$48)+SUMIF($N$29:$N$30,$M53,$P$29:$P$30)</f>
        <v/>
      </c>
      <c r="P53" s="148" t="n"/>
      <c r="Q53" s="157" t="n"/>
      <c r="R53" s="90" t="n">
        <v>12470000</v>
      </c>
      <c r="S53" s="66" t="inlineStr">
        <is>
          <t>在建損益-承攬案</t>
        </is>
      </c>
      <c r="T53" s="77">
        <f>SUMIF($S$4:$S$10,$R53,$U$4:$U$10)+SUMIF($S$16:$S$22,$R53,$U$16:$U$22)+SUMIF($S$33:$S$35,$R53,$U$33:$U$35)+SUMIF($S$44:$S$48,$R53,$U$44:$U$48)+SUMIF($S$29:$S$30,$R53,$U$29:$U$30)</f>
        <v/>
      </c>
      <c r="U53" s="148" t="n"/>
      <c r="V53" s="157" t="n"/>
    </row>
    <row r="54">
      <c r="A54" s="145" t="n"/>
      <c r="B54" s="163" t="n"/>
      <c r="C54" s="12" t="n">
        <v>22640000</v>
      </c>
      <c r="D54" s="13" t="inlineStr">
        <is>
          <t>預收工程款</t>
        </is>
      </c>
      <c r="E54" s="77">
        <f>SUMIF($D$4:$D$10,$C54,$F$4:$F$10)+SUMIF($D$16:$D$22,$C54,$F$16:$F$22)+SUMIF($D$33:$D$35,$C54,$F$33:$F$35)+SUMIF($D$44:$D$48,$C54,$F$44:$F$48)+SUMIF($D$29:$D$30,$C54,$F$29:$F$30)</f>
        <v/>
      </c>
      <c r="F54" s="149" t="n"/>
      <c r="G54" s="158" t="n"/>
      <c r="H54" s="12" t="n">
        <v>22640000</v>
      </c>
      <c r="I54" s="13" t="inlineStr">
        <is>
          <t>預收工程款</t>
        </is>
      </c>
      <c r="J54" s="77">
        <f>SUMIF($I$4:$I$10,$H54,$K$4:$K$10)+SUMIF($I$16:$I$22,$H54,$K$16:$K$22)+SUMIF($I$33:$I$35,$H54,$K$33:$K$35)+SUMIF($I$44:$I$48,$H54,$K$44:$K$48)+SUMIF($I$29:$I$30,$H54,$K$29:$K$30)</f>
        <v/>
      </c>
      <c r="K54" s="149" t="n"/>
      <c r="L54" s="158" t="n"/>
      <c r="M54" s="91" t="n">
        <v>22640000</v>
      </c>
      <c r="N54" s="13" t="inlineStr">
        <is>
          <t>預收工程款</t>
        </is>
      </c>
      <c r="O54" s="77">
        <f>SUMIF($N$4:$N$10,$M54,$P$4:$P$10)+SUMIF($N$16:$N$22,$M54,$P$16:$P$22)+SUMIF($N$33:$N$35,$M54,$P$33:$P$35)+SUMIF($N$44:$N$48,$M54,$P$44:$P$48)+SUMIF($N$29:$N$30,$M54,$P$29:$P$30)</f>
        <v/>
      </c>
      <c r="P54" s="149" t="n"/>
      <c r="Q54" s="158" t="n"/>
      <c r="R54" s="91" t="n">
        <v>22640000</v>
      </c>
      <c r="S54" s="13" t="inlineStr">
        <is>
          <t>預收工程款</t>
        </is>
      </c>
      <c r="T54" s="77">
        <f>SUMIF($S$4:$S$10,$R54,$U$4:$U$10)+SUMIF($S$16:$S$22,$R54,$U$16:$U$22)+SUMIF($S$33:$S$35,$R54,$U$33:$U$35)+SUMIF($S$44:$S$48,$R54,$U$44:$U$48)+SUMIF($S$29:$S$30,$R54,$U$29:$U$30)</f>
        <v/>
      </c>
      <c r="U54" s="149" t="n"/>
      <c r="V54" s="158" t="n"/>
    </row>
    <row r="55">
      <c r="A55" s="145" t="n"/>
      <c r="B55" s="163" t="n"/>
      <c r="C55" s="16" t="inlineStr">
        <is>
          <t>1103xxxx</t>
        </is>
      </c>
      <c r="D55" s="17" t="inlineStr">
        <is>
          <t>銀行存款</t>
        </is>
      </c>
      <c r="E55" s="81">
        <f>SUMIF($D$4:$D$10,$C55,$F$4:$F$10)+SUMIF($D$16:$D$22,$C55,$F$16:$F$22)+SUMIF($D$33:$D$35,$C55,$F$33:$F$35)+SUMIF($D$44:$D$48,$C55,$F$44:$F$48)+SUMIF($D$29:$D$30,$C55,$F$29:$F$30)</f>
        <v/>
      </c>
      <c r="F55" s="78">
        <f>E55</f>
        <v/>
      </c>
      <c r="G55" s="67" t="inlineStr">
        <is>
          <t>銀行存款</t>
        </is>
      </c>
      <c r="H55" s="16" t="inlineStr">
        <is>
          <t>1103xxxx</t>
        </is>
      </c>
      <c r="I55" s="17" t="inlineStr">
        <is>
          <t>銀行存款</t>
        </is>
      </c>
      <c r="J55" s="81">
        <f>SUMIF($I$4:$I$10,$H55,$K$4:$K$10)+SUMIF($I$16:$I$22,$H55,$K$16:$K$22)+SUMIF($I$33:$I$35,$H55,$K$33:$K$35)+SUMIF($I$44:$I$48,$H55,$K$44:$K$48)+SUMIF($I$29:$I$30,$H55,$K$29:$K$30)</f>
        <v/>
      </c>
      <c r="K55" s="78">
        <f>J55</f>
        <v/>
      </c>
      <c r="L55" s="67" t="inlineStr">
        <is>
          <t>銀行存款</t>
        </is>
      </c>
      <c r="M55" s="92" t="inlineStr">
        <is>
          <t>1103xxxx</t>
        </is>
      </c>
      <c r="N55" s="17" t="inlineStr">
        <is>
          <t>銀行存款</t>
        </is>
      </c>
      <c r="O55" s="81">
        <f>SUMIF($N$4:$N$10,$M55,$P$4:$P$10)+SUMIF($N$16:$N$22,$M55,$P$16:$P$22)+SUMIF($N$33:$N$35,$M55,$P$33:$P$35)+SUMIF($N$44:$N$48,$M55,$P$44:$P$48)+SUMIF($N$29:$N$30,$M55,$P$29:$P$30)</f>
        <v/>
      </c>
      <c r="P55" s="78">
        <f>O55</f>
        <v/>
      </c>
      <c r="Q55" s="67" t="inlineStr">
        <is>
          <t>銀行存款</t>
        </is>
      </c>
      <c r="R55" s="92" t="inlineStr">
        <is>
          <t>1103xxxx</t>
        </is>
      </c>
      <c r="S55" s="17" t="inlineStr">
        <is>
          <t>銀行存款</t>
        </is>
      </c>
      <c r="T55" s="81">
        <f>SUMIF($S$4:$S$10,$R55,$U$4:$U$10)+SUMIF($S$16:$S$22,$R55,$U$16:$U$22)+SUMIF($S$33:$S$35,$R55,$U$33:$U$35)+SUMIF($S$44:$S$48,$R55,$U$44:$U$48)+SUMIF($S$29:$S$30,$R55,$U$29:$U$30)</f>
        <v/>
      </c>
      <c r="U55" s="78">
        <f>T55</f>
        <v/>
      </c>
      <c r="V55" s="67" t="inlineStr">
        <is>
          <t>銀行存款</t>
        </is>
      </c>
    </row>
    <row r="56">
      <c r="A56" s="145" t="n"/>
      <c r="B56" s="163" t="n"/>
      <c r="C56" s="19" t="n">
        <v>11430000</v>
      </c>
      <c r="D56" s="68" t="inlineStr">
        <is>
          <t>應收帳款</t>
        </is>
      </c>
      <c r="E56" s="82">
        <f>SUMIF($D$4:$D$10,$C56,$F$4:$F$10)+SUMIF($D$16:$D$22,$C56,$F$16:$F$22)+SUMIF($D$33:$D$35,$C56,$F$33:$F$35)+SUMIF($D$44:$D$48,$C56,$F$44:$F$48)+SUMIF($D$29:$D$30,$C56,$F$29:$F$30)</f>
        <v/>
      </c>
      <c r="F56" s="79">
        <f>E56</f>
        <v/>
      </c>
      <c r="G56" s="69" t="inlineStr">
        <is>
          <t>應收帳款</t>
        </is>
      </c>
      <c r="H56" s="19" t="n">
        <v>11430000</v>
      </c>
      <c r="I56" s="68" t="inlineStr">
        <is>
          <t>應收帳款</t>
        </is>
      </c>
      <c r="J56" s="82">
        <f>SUMIF($I$4:$I$10,$H56,$K$4:$K$10)+SUMIF($I$16:$I$22,$H56,$K$16:$K$22)+SUMIF($I$33:$I$35,$H56,$K$33:$K$35)+SUMIF($I$44:$I$48,$H56,$K$44:$K$48)+SUMIF($I$29:$I$30,$H56,$K$29:$K$30)</f>
        <v/>
      </c>
      <c r="K56" s="79">
        <f>J56</f>
        <v/>
      </c>
      <c r="L56" s="69" t="inlineStr">
        <is>
          <t>應收帳款</t>
        </is>
      </c>
      <c r="M56" s="93" t="n">
        <v>11430000</v>
      </c>
      <c r="N56" s="68" t="inlineStr">
        <is>
          <t>應收帳款</t>
        </is>
      </c>
      <c r="O56" s="82">
        <f>SUMIF($N$4:$N$10,$M56,$P$4:$P$10)+SUMIF($N$16:$N$22,$M56,$P$16:$P$22)+SUMIF($N$33:$N$35,$M56,$P$33:$P$35)+SUMIF($N$44:$N$48,$M56,$P$44:$P$48)+SUMIF($N$29:$N$30,$M56,$P$29:$P$30)</f>
        <v/>
      </c>
      <c r="P56" s="79">
        <f>O56</f>
        <v/>
      </c>
      <c r="Q56" s="69" t="inlineStr">
        <is>
          <t>應收帳款</t>
        </is>
      </c>
      <c r="R56" s="93" t="n">
        <v>11430000</v>
      </c>
      <c r="S56" s="68" t="inlineStr">
        <is>
          <t>應收帳款</t>
        </is>
      </c>
      <c r="T56" s="82">
        <f>SUMIF($S$4:$S$10,$R56,$U$4:$U$10)+SUMIF($S$16:$S$22,$R56,$U$16:$U$22)+SUMIF($S$33:$S$35,$R56,$U$33:$U$35)+SUMIF($S$44:$S$48,$R56,$U$44:$U$48)+SUMIF($S$29:$S$30,$R56,$U$29:$U$30)</f>
        <v/>
      </c>
      <c r="U56" s="79">
        <f>T56</f>
        <v/>
      </c>
      <c r="V56" s="69" t="inlineStr">
        <is>
          <t>應收帳款</t>
        </is>
      </c>
    </row>
    <row r="57">
      <c r="A57" s="145" t="n"/>
      <c r="B57" s="163" t="n"/>
      <c r="C57" s="19" t="n">
        <v>21430000</v>
      </c>
      <c r="D57" s="68" t="inlineStr">
        <is>
          <t>應付帳款</t>
        </is>
      </c>
      <c r="E57" s="82">
        <f>SUMIF($D$4:$D$10,$C57,$F$4:$F$10)+SUMIF($D$16:$D$22,$C57,$F$16:$F$22)+SUMIF($D$33:$D$35,$C57,$F$33:$F$35)+SUMIF($D$44:$D$48,$C57,$F$44:$F$48)+SUMIF($D$29:$D$30,$C57,$F$29:$F$30)</f>
        <v/>
      </c>
      <c r="F57" s="79">
        <f>E57</f>
        <v/>
      </c>
      <c r="G57" s="70" t="inlineStr">
        <is>
          <t>應付帳款</t>
        </is>
      </c>
      <c r="H57" s="19" t="n">
        <v>21430000</v>
      </c>
      <c r="I57" s="68" t="inlineStr">
        <is>
          <t>應付帳款</t>
        </is>
      </c>
      <c r="J57" s="82">
        <f>SUMIF($I$4:$I$10,$H57,$K$4:$K$10)+SUMIF($I$16:$I$22,$H57,$K$16:$K$22)+SUMIF($I$33:$I$35,$H57,$K$33:$K$35)+SUMIF($I$44:$I$48,$H57,$K$44:$K$48)+SUMIF($I$29:$I$30,$H57,$K$29:$K$30)</f>
        <v/>
      </c>
      <c r="K57" s="79">
        <f>J57</f>
        <v/>
      </c>
      <c r="L57" s="70" t="inlineStr">
        <is>
          <t>應付帳款</t>
        </is>
      </c>
      <c r="M57" s="93" t="n">
        <v>21430000</v>
      </c>
      <c r="N57" s="68" t="inlineStr">
        <is>
          <t>應付帳款</t>
        </is>
      </c>
      <c r="O57" s="82">
        <f>SUMIF($N$4:$N$10,$M57,$P$4:$P$10)+SUMIF($N$16:$N$22,$M57,$P$16:$P$22)+SUMIF($N$33:$N$35,$M57,$P$33:$P$35)+SUMIF($N$44:$N$48,$M57,$P$44:$P$48)+SUMIF($N$29:$N$30,$M57,$P$29:$P$30)</f>
        <v/>
      </c>
      <c r="P57" s="79">
        <f>O57</f>
        <v/>
      </c>
      <c r="Q57" s="70" t="inlineStr">
        <is>
          <t>應付帳款</t>
        </is>
      </c>
      <c r="R57" s="93" t="n">
        <v>21430000</v>
      </c>
      <c r="S57" s="68" t="inlineStr">
        <is>
          <t>應付帳款</t>
        </is>
      </c>
      <c r="T57" s="82">
        <f>SUMIF($S$4:$S$10,$R57,$U$4:$U$10)+SUMIF($S$16:$S$22,$R57,$U$16:$U$22)+SUMIF($S$33:$S$35,$R57,$U$33:$U$35)+SUMIF($S$44:$S$48,$R57,$U$44:$U$48)+SUMIF($S$29:$S$30,$R57,$U$29:$U$30)</f>
        <v/>
      </c>
      <c r="U57" s="79">
        <f>T57</f>
        <v/>
      </c>
      <c r="V57" s="70" t="inlineStr">
        <is>
          <t>應付帳款</t>
        </is>
      </c>
    </row>
    <row r="58">
      <c r="A58" s="145" t="n"/>
      <c r="B58" s="163" t="n"/>
      <c r="C58" s="19" t="n">
        <v>25600020</v>
      </c>
      <c r="D58" s="68" t="inlineStr">
        <is>
          <t>負債準備</t>
        </is>
      </c>
      <c r="E58" s="82">
        <f>SUMIF($D$4:$D$10,$C58,$F$4:$F$10)+SUMIF($D$16:$D$22,$C58,$F$16:$F$22)+SUMIF($D$33:$D$35,$C58,$F$33:$F$35)+SUMIF($D$44:$D$48,$C58,$F$44:$F$48)+SUMIF($D$29:$D$30,$C58,$F$29:$F$30)</f>
        <v/>
      </c>
      <c r="F58" s="79">
        <f>E58</f>
        <v/>
      </c>
      <c r="G58" s="70" t="inlineStr">
        <is>
          <t>負債準備</t>
        </is>
      </c>
      <c r="H58" s="19" t="n">
        <v>25600020</v>
      </c>
      <c r="I58" s="68" t="inlineStr">
        <is>
          <t>負債準備</t>
        </is>
      </c>
      <c r="J58" s="82">
        <f>SUMIF($I$4:$I$10,$H58,$K$4:$K$10)+SUMIF($I$16:$I$22,$H58,$K$16:$K$22)+SUMIF($I$33:$I$35,$H58,$K$33:$K$35)+SUMIF($I$44:$I$48,$H58,$K$44:$K$48)+SUMIF($I$29:$I$30,$H58,$K$29:$K$30)</f>
        <v/>
      </c>
      <c r="K58" s="79">
        <f>J58</f>
        <v/>
      </c>
      <c r="L58" s="70" t="inlineStr">
        <is>
          <t>負債準備</t>
        </is>
      </c>
      <c r="M58" s="93" t="n"/>
      <c r="N58" s="68" t="n"/>
      <c r="O58" s="82" t="n"/>
      <c r="P58" s="79" t="n"/>
      <c r="Q58" s="70" t="n"/>
      <c r="R58" s="93" t="n"/>
      <c r="S58" s="68" t="n"/>
      <c r="T58" s="82" t="n"/>
      <c r="U58" s="79" t="n"/>
      <c r="V58" s="70" t="n"/>
    </row>
    <row r="59">
      <c r="A59" s="145" t="n"/>
      <c r="B59" s="163" t="n"/>
      <c r="C59" s="19" t="n">
        <v>12640000</v>
      </c>
      <c r="D59" s="68" t="inlineStr">
        <is>
          <t>進項稅額</t>
        </is>
      </c>
      <c r="E59" s="82">
        <f>SUMIF($D$4:$D$10,$C59,$F$4:$F$10)+SUMIF($D$16:$D$22,$C59,$F$16:$F$22)+SUMIF($D$33:$D$35,$C59,$F$33:$F$35)+SUMIF($D$44:$D$48,$C59,$F$44:$F$48)+SUMIF($D$29:$D$30,$C59,$F$29:$F$30)</f>
        <v/>
      </c>
      <c r="F59" s="79">
        <f>E59</f>
        <v/>
      </c>
      <c r="G59" s="70" t="inlineStr">
        <is>
          <t>進項稅額</t>
        </is>
      </c>
      <c r="H59" s="19" t="n">
        <v>12640000</v>
      </c>
      <c r="I59" s="68" t="inlineStr">
        <is>
          <t>進項稅額</t>
        </is>
      </c>
      <c r="J59" s="82">
        <f>SUMIF($I$4:$I$10,$H59,$K$4:$K$10)+SUMIF($I$16:$I$22,$H59,$K$16:$K$22)+SUMIF($I$33:$I$35,$H59,$K$33:$K$35)+SUMIF($I$44:$I$48,$H59,$K$44:$K$48)+SUMIF($I$29:$I$30,$H59,$K$29:$K$30)</f>
        <v/>
      </c>
      <c r="K59" s="79">
        <f>J59</f>
        <v/>
      </c>
      <c r="L59" s="70" t="inlineStr">
        <is>
          <t>進項稅額</t>
        </is>
      </c>
      <c r="M59" s="93" t="n">
        <v>12640000</v>
      </c>
      <c r="N59" s="68" t="inlineStr">
        <is>
          <t>進項稅額</t>
        </is>
      </c>
      <c r="O59" s="82">
        <f>SUMIF($N$4:$N$10,$M59,$P$4:$P$10)+SUMIF($N$16:$N$22,$M59,$P$16:$P$22)+SUMIF($N$33:$N$35,$M59,$P$33:$P$35)+SUMIF($N$44:$N$48,$M59,$P$44:$P$48)+SUMIF($N$29:$N$30,$M59,$P$29:$P$30)</f>
        <v/>
      </c>
      <c r="P59" s="79">
        <f>O59</f>
        <v/>
      </c>
      <c r="Q59" s="70" t="inlineStr">
        <is>
          <t>進項稅額</t>
        </is>
      </c>
      <c r="R59" s="93" t="n">
        <v>12640000</v>
      </c>
      <c r="S59" s="68" t="inlineStr">
        <is>
          <t>進項稅額</t>
        </is>
      </c>
      <c r="T59" s="82">
        <f>SUMIF($S$4:$S$10,$R59,$U$4:$U$10)+SUMIF($S$16:$S$22,$R59,$U$16:$U$22)+SUMIF($S$33:$S$35,$R59,$U$33:$U$35)+SUMIF($S$44:$S$48,$R59,$U$44:$U$48)+SUMIF($S$29:$S$30,$R59,$U$29:$U$30)</f>
        <v/>
      </c>
      <c r="U59" s="79">
        <f>T59</f>
        <v/>
      </c>
      <c r="V59" s="70" t="inlineStr">
        <is>
          <t>進項稅額</t>
        </is>
      </c>
    </row>
    <row r="60">
      <c r="A60" s="145" t="n"/>
      <c r="B60" s="163" t="n"/>
      <c r="C60" s="22" t="n">
        <v>22140000</v>
      </c>
      <c r="D60" s="23" t="inlineStr">
        <is>
          <t>銷項稅額</t>
        </is>
      </c>
      <c r="E60" s="83">
        <f>SUMIF($D$4:$D$10,$C60,$F$4:$F$10)+SUMIF($D$16:$D$22,$C60,$F$16:$F$22)+SUMIF($D$33:$D$35,$C60,$F$33:$F$35)+SUMIF($D$44:$D$48,$C60,$F$44:$F$48)+SUMIF($D$29:$D$30,$C60,$F$29:$F$30)</f>
        <v/>
      </c>
      <c r="F60" s="80">
        <f>E60</f>
        <v/>
      </c>
      <c r="G60" s="71" t="inlineStr">
        <is>
          <t>銷項稅額</t>
        </is>
      </c>
      <c r="H60" s="22" t="n">
        <v>22140000</v>
      </c>
      <c r="I60" s="23" t="inlineStr">
        <is>
          <t>銷項稅額</t>
        </is>
      </c>
      <c r="J60" s="83">
        <f>SUMIF($I$4:$I$10,$H60,$K$4:$K$10)+SUMIF($I$16:$I$22,$H60,$K$16:$K$22)+SUMIF($I$33:$I$35,$H60,$K$33:$K$35)+SUMIF($I$44:$I$48,$H60,$K$44:$K$48)+SUMIF($I$29:$I$30,$H60,$K$29:$K$30)</f>
        <v/>
      </c>
      <c r="K60" s="80">
        <f>J60</f>
        <v/>
      </c>
      <c r="L60" s="71" t="inlineStr">
        <is>
          <t>銷項稅額</t>
        </is>
      </c>
      <c r="M60" s="94" t="n">
        <v>22140000</v>
      </c>
      <c r="N60" s="23" t="inlineStr">
        <is>
          <t>銷項稅額</t>
        </is>
      </c>
      <c r="O60" s="83">
        <f>SUMIF($N$4:$N$10,$M60,$P$4:$P$10)+SUMIF($N$16:$N$22,$M60,$P$16:$P$22)+SUMIF($N$33:$N$35,$M60,$P$33:$P$35)+SUMIF($N$44:$N$48,$M60,$P$44:$P$48)+SUMIF($N$29:$N$30,$M60,$P$29:$P$30)</f>
        <v/>
      </c>
      <c r="P60" s="80">
        <f>O60</f>
        <v/>
      </c>
      <c r="Q60" s="71" t="inlineStr">
        <is>
          <t>銷項稅額</t>
        </is>
      </c>
      <c r="R60" s="94" t="n">
        <v>22140000</v>
      </c>
      <c r="S60" s="23" t="inlineStr">
        <is>
          <t>銷項稅額</t>
        </is>
      </c>
      <c r="T60" s="83">
        <f>SUMIF($S$4:$S$10,$R60,$U$4:$U$10)+SUMIF($S$16:$S$22,$R60,$U$16:$U$22)+SUMIF($S$33:$S$35,$R60,$U$33:$U$35)+SUMIF($S$44:$S$48,$R60,$U$44:$U$48)+SUMIF($S$29:$S$30,$R60,$U$29:$U$30)</f>
        <v/>
      </c>
      <c r="U60" s="80">
        <f>T60</f>
        <v/>
      </c>
      <c r="V60" s="71" t="inlineStr">
        <is>
          <t>銷項稅額</t>
        </is>
      </c>
    </row>
    <row r="61">
      <c r="A61" s="145" t="n"/>
      <c r="B61" s="162" t="inlineStr">
        <is>
          <t>P/L</t>
        </is>
      </c>
      <c r="C61" s="72" t="n">
        <v>45110000</v>
      </c>
      <c r="D61" s="73" t="inlineStr">
        <is>
          <t>承攬工程收入</t>
        </is>
      </c>
      <c r="E61" s="84">
        <f>SUMIF($D$4:$D$10,$C61,$F$4:$F$10)+SUMIF($D$16:$D$22,$C61,$F$16:$F$22)+SUMIF($D$33:$D$35,$C61,$F$33:$F$35)+SUMIF($D$44:$D$48,$C61,$F$44:$F$48)+SUMIF($D$29:$D$30,$C61,$F$29:$F$30)</f>
        <v/>
      </c>
      <c r="F61" s="153">
        <f>SUM(E61:E71)</f>
        <v/>
      </c>
      <c r="G61" s="160" t="inlineStr">
        <is>
          <t>本期損益</t>
        </is>
      </c>
      <c r="H61" s="95" t="n">
        <v>45110000</v>
      </c>
      <c r="I61" s="73" t="inlineStr">
        <is>
          <t>承攬工程收入</t>
        </is>
      </c>
      <c r="J61" s="84">
        <f>SUMIF($I$4:$I$10,$H61,$K$4:$K$10)+SUMIF($I$16:$I$22,$H61,$K$16:$K$22)+SUMIF($I$33:$I$35,$H61,$K$33:$K$35)+SUMIF($I$44:$I$48,$H61,$K$44:$K$48)+SUMIF($I$29:$I$30,$H61,$K$29:$K$30)</f>
        <v/>
      </c>
      <c r="K61" s="153">
        <f>SUM(J61:J71)</f>
        <v/>
      </c>
      <c r="L61" s="160" t="inlineStr">
        <is>
          <t>本期損益</t>
        </is>
      </c>
      <c r="M61" s="95" t="n">
        <v>45110000</v>
      </c>
      <c r="N61" s="73" t="inlineStr">
        <is>
          <t>承攬工程收入</t>
        </is>
      </c>
      <c r="O61" s="84">
        <f>SUMIF($N$4:$N$10,$M61,$P$4:$P$10)+SUMIF($N$16:$N$22,$M61,$P$16:$P$22)+SUMIF($N$33:$N$35,$M61,$P$33:$P$35)+SUMIF($N$44:$N$48,$M61,$P$44:$P$48)+SUMIF($N$29:$N$30,$M61,$P$29:$P$30)</f>
        <v/>
      </c>
      <c r="P61" s="153">
        <f>SUM(O61:O71)</f>
        <v/>
      </c>
      <c r="Q61" s="160" t="inlineStr">
        <is>
          <t>本期損益</t>
        </is>
      </c>
      <c r="R61" s="95" t="n">
        <v>45110000</v>
      </c>
      <c r="S61" s="73" t="inlineStr">
        <is>
          <t>承攬工程收入</t>
        </is>
      </c>
      <c r="T61" s="84">
        <f>SUMIF($S$4:$S$10,$R61,$U$4:$U$10)+SUMIF($S$16:$S$22,$R61,$U$16:$U$22)+SUMIF($S$33:$S$35,$R61,$U$33:$U$35)+SUMIF($S$44:$S$48,$R61,$U$44:$U$48)+SUMIF($S$29:$S$30,$R61,$U$29:$U$30)</f>
        <v/>
      </c>
      <c r="U61" s="153">
        <f>SUM(T61:T71)</f>
        <v/>
      </c>
      <c r="V61" s="160" t="inlineStr">
        <is>
          <t>本期損益</t>
        </is>
      </c>
    </row>
    <row r="62">
      <c r="A62" s="145" t="n"/>
      <c r="B62" s="163" t="n"/>
      <c r="C62" s="72" t="n">
        <v>55110000</v>
      </c>
      <c r="D62" s="73" t="inlineStr">
        <is>
          <t>承攬工程成本</t>
        </is>
      </c>
      <c r="E62" s="84">
        <f>SUMIF($D$4:$D$10,$C62,$F$4:$F$10)+SUMIF($D$16:$D$22,$C62,$F$16:$F$22)+SUMIF($D$33:$D$35,$C62,$F$33:$F$35)+SUMIF($D$44:$D$48,$C62,$F$44:$F$48)+SUMIF($D$29:$D$30,$C62,$F$29:$F$30)</f>
        <v/>
      </c>
      <c r="F62" s="148" t="n"/>
      <c r="G62" s="157" t="n"/>
      <c r="H62" s="95" t="n">
        <v>55110000</v>
      </c>
      <c r="I62" s="73" t="inlineStr">
        <is>
          <t>承攬工程成本</t>
        </is>
      </c>
      <c r="J62" s="84">
        <f>SUMIF($I$4:$I$10,$H62,$K$4:$K$10)+SUMIF($I$16:$I$22,$H62,$K$16:$K$22)+SUMIF($I$33:$I$35,$H62,$K$33:$K$35)+SUMIF($I$44:$I$48,$H62,$K$44:$K$48)+SUMIF($I$29:$I$30,$H62,$K$29:$K$30)</f>
        <v/>
      </c>
      <c r="K62" s="148" t="n"/>
      <c r="L62" s="157" t="n"/>
      <c r="M62" s="95" t="n">
        <v>55110000</v>
      </c>
      <c r="N62" s="73" t="inlineStr">
        <is>
          <t>承攬工程成本</t>
        </is>
      </c>
      <c r="O62" s="84">
        <f>SUMIF($N$4:$N$10,$M62,$P$4:$P$10)+SUMIF($N$16:$N$22,$M62,$P$16:$P$22)+SUMIF($N$33:$N$35,$M62,$P$33:$P$35)+SUMIF($N$44:$N$48,$M62,$P$44:$P$48)+SUMIF($N$29:$N$30,$M62,$P$29:$P$30)</f>
        <v/>
      </c>
      <c r="P62" s="148" t="n"/>
      <c r="Q62" s="157" t="n"/>
      <c r="R62" s="95" t="n">
        <v>55110000</v>
      </c>
      <c r="S62" s="73" t="inlineStr">
        <is>
          <t>承攬工程成本</t>
        </is>
      </c>
      <c r="T62" s="84">
        <f>SUMIF($S$4:$S$10,$R62,$U$4:$U$10)+SUMIF($S$16:$S$22,$R62,$U$16:$U$22)+SUMIF($S$33:$S$35,$R62,$U$33:$U$35)+SUMIF($S$44:$S$48,$R62,$U$44:$U$48)+SUMIF($S$29:$S$30,$R62,$U$29:$U$30)</f>
        <v/>
      </c>
      <c r="U62" s="148" t="n"/>
      <c r="V62" s="157" t="n"/>
    </row>
    <row r="63">
      <c r="A63" s="145" t="n"/>
      <c r="B63" s="163" t="n"/>
      <c r="C63" s="72" t="n">
        <v>55110006</v>
      </c>
      <c r="D63" s="73" t="inlineStr">
        <is>
          <t>成本-負債準備</t>
        </is>
      </c>
      <c r="E63" s="84">
        <f>SUMIF($D$4:$D$10,$C63,$F$4:$F$10)+SUMIF($D$16:$D$22,$C63,$F$16:$F$22)+SUMIF($D$33:$D$35,$C63,$F$33:$F$35)+SUMIF($D$44:$D$48,$C63,$F$44:$F$48)+SUMIF($D$29:$D$30,$C63,$F$29:$F$30)</f>
        <v/>
      </c>
      <c r="F63" s="148" t="n"/>
      <c r="G63" s="157" t="n"/>
      <c r="H63" s="72" t="n">
        <v>55110006</v>
      </c>
      <c r="I63" s="73" t="inlineStr">
        <is>
          <t>成本-負債準備</t>
        </is>
      </c>
      <c r="J63" s="84">
        <f>SUMIF($I$4:$I$10,$H63,$K$4:$K$10)+SUMIF($I$16:$I$22,$H63,$K$16:$K$22)+SUMIF($I$33:$I$35,$H63,$K$33:$K$35)+SUMIF($I$44:$I$48,$H63,$K$44:$K$48)+SUMIF($I$29:$I$30,$H63,$K$29:$K$30)</f>
        <v/>
      </c>
      <c r="K63" s="148" t="n"/>
      <c r="L63" s="157" t="n"/>
      <c r="M63" s="95" t="inlineStr">
        <is>
          <t>55/56xxxxxx</t>
        </is>
      </c>
      <c r="N63" s="73" t="inlineStr">
        <is>
          <t>專案成本</t>
        </is>
      </c>
      <c r="O63" s="84">
        <f>SUMIF($N$4:$N$10,$M63,$P$4:$P$10)+SUMIF($N$16:$N$22,$M63,$P$16:$P$22)+SUMIF($N$33:$N$35,$M63,$P$33:$P$35)+SUMIF($N$44:$N$48,$M63,$P$44:$P$48)+SUMIF($N$29:$N$30,$M63,$P$29:$P$30)</f>
        <v/>
      </c>
      <c r="P63" s="148" t="n"/>
      <c r="Q63" s="157" t="n"/>
      <c r="R63" s="95" t="inlineStr">
        <is>
          <t>55/56xxxxxx</t>
        </is>
      </c>
      <c r="S63" s="73" t="inlineStr">
        <is>
          <t>專案成本</t>
        </is>
      </c>
      <c r="T63" s="84">
        <f>SUMIF($S$4:$S$10,$R63,$U$4:$U$10)+SUMIF($S$16:$S$22,$R63,$U$16:$U$22)+SUMIF($S$33:$S$35,$R63,$U$33:$U$35)+SUMIF($S$44:$S$48,$R63,$U$44:$U$48)+SUMIF($S$29:$S$30,$R63,$U$29:$U$30)</f>
        <v/>
      </c>
      <c r="U63" s="148" t="n"/>
      <c r="V63" s="157" t="n"/>
    </row>
    <row r="64">
      <c r="A64" s="145" t="n"/>
      <c r="B64" s="163" t="n"/>
      <c r="C64" s="72" t="n"/>
      <c r="D64" s="73" t="n"/>
      <c r="E64" s="84" t="n"/>
      <c r="F64" s="148" t="n"/>
      <c r="G64" s="157" t="n"/>
      <c r="H64" s="72" t="n"/>
      <c r="I64" s="73" t="n"/>
      <c r="J64" s="84">
        <f>SUMIF($I$4:$I$10,$H64,$K$4:$K$10)+SUMIF($I$16:$I$22,$H64,$K$16:$K$22)+SUMIF($I$33:$I$35,$H64,$K$33:$K$35)+SUMIF($I$44:$I$48,$H64,$K$44:$K$48)+SUMIF($I$29:$I$30,$H64,$K$29:$K$30)</f>
        <v/>
      </c>
      <c r="K64" s="148" t="n"/>
      <c r="L64" s="157" t="n"/>
      <c r="M64" s="95" t="n">
        <v>55110098</v>
      </c>
      <c r="N64" s="73" t="inlineStr">
        <is>
          <t>承攬工程成本-非人事</t>
        </is>
      </c>
      <c r="O64" s="84">
        <f>SUMIF($N$4:$N$10,$M64,$P$4:$P$10)+SUMIF($N$16:$N$22,$M64,$P$16:$P$22)+SUMIF($N$33:$N$35,$M64,$P$33:$P$35)+SUMIF($N$44:$N$48,$M64,$P$44:$P$48)+SUMIF($N$29:$N$30,$M64,$P$29:$P$30)</f>
        <v/>
      </c>
      <c r="P64" s="148" t="n"/>
      <c r="Q64" s="157" t="n"/>
      <c r="R64" s="95" t="n">
        <v>55110098</v>
      </c>
      <c r="S64" s="73" t="inlineStr">
        <is>
          <t>承攬工程成本-非人事</t>
        </is>
      </c>
      <c r="T64" s="84">
        <f>SUMIF($S$4:$S$10,$R64,$U$4:$U$10)+SUMIF($S$16:$S$22,$R64,$U$16:$U$22)+SUMIF($S$33:$S$35,$R64,$U$33:$U$35)+SUMIF($S$44:$S$48,$R64,$U$44:$U$48)+SUMIF($S$29:$S$30,$R64,$U$29:$U$30)</f>
        <v/>
      </c>
      <c r="U64" s="148" t="n"/>
      <c r="V64" s="157" t="n"/>
    </row>
    <row r="65">
      <c r="A65" s="145" t="n"/>
      <c r="B65" s="163" t="n"/>
      <c r="C65" s="72" t="inlineStr">
        <is>
          <t>62xxxxxx</t>
        </is>
      </c>
      <c r="D65" s="73" t="inlineStr">
        <is>
          <t>辦公室費用</t>
        </is>
      </c>
      <c r="E65" s="84">
        <f>SUMIF($D$4:$D$10,$C65,$F$4:$F$10)+SUMIF($D$16:$D$22,$C65,$F$16:$F$22)+SUMIF($D$33:$D$35,$C65,$F$33:$F$35)+SUMIF($D$44:$D$48,$C65,$F$44:$F$48)+SUMIF($D$29:$D$30,$C65,$F$29:$F$30)</f>
        <v/>
      </c>
      <c r="F65" s="148" t="n"/>
      <c r="G65" s="157" t="n"/>
      <c r="H65" s="95" t="inlineStr">
        <is>
          <t>62xxxxxx</t>
        </is>
      </c>
      <c r="I65" s="73" t="inlineStr">
        <is>
          <t>辦公室費用</t>
        </is>
      </c>
      <c r="J65" s="84">
        <f>SUMIF($I$4:$I$10,$H65,$K$4:$K$10)+SUMIF($I$16:$I$22,$H65,$K$16:$K$22)+SUMIF($I$33:$I$35,$H65,$K$33:$K$35)+SUMIF($I$44:$I$48,$H65,$K$44:$K$48)+SUMIF($I$29:$I$30,$H65,$K$29:$K$30)</f>
        <v/>
      </c>
      <c r="K65" s="148" t="n"/>
      <c r="L65" s="157" t="n"/>
      <c r="M65" s="95" t="inlineStr">
        <is>
          <t>46110050</t>
        </is>
      </c>
      <c r="N65" s="73" t="inlineStr">
        <is>
          <t>勞務收入-內部計價</t>
        </is>
      </c>
      <c r="O65" s="84">
        <f>SUMIF($N$4:$N$10,$M65,$P$4:$P$10)+SUMIF($N$16:$N$22,$M65,$P$16:$P$22)+SUMIF($N$33:$N$35,$M65,$P$33:$P$35)+SUMIF($N$44:$N$48,$M65,$P$44:$P$48)+SUMIF($N$29:$N$30,$M65,$P$29:$P$30)</f>
        <v/>
      </c>
      <c r="P65" s="148" t="n"/>
      <c r="Q65" s="157" t="n"/>
      <c r="R65" s="95" t="inlineStr">
        <is>
          <t>46110050</t>
        </is>
      </c>
      <c r="S65" s="73" t="inlineStr">
        <is>
          <t>勞務收入-內部計價</t>
        </is>
      </c>
      <c r="T65" s="84">
        <f>SUMIF($S$4:$S$10,$R65,$U$4:$U$10)+SUMIF($S$16:$S$22,$R65,$U$16:$U$22)+SUMIF($S$33:$S$35,$R65,$U$33:$U$35)+SUMIF($S$44:$S$48,$R65,$U$44:$U$48)+SUMIF($S$29:$S$30,$R65,$U$29:$U$30)</f>
        <v/>
      </c>
      <c r="U65" s="148" t="n"/>
      <c r="V65" s="157" t="n"/>
    </row>
    <row r="66">
      <c r="A66" s="145" t="n"/>
      <c r="B66" s="163" t="n"/>
      <c r="C66" s="72" t="n"/>
      <c r="D66" s="73" t="n"/>
      <c r="E66" s="84">
        <f>SUMIF($D$4:$D$10,$C66,$F$4:$F$10)+SUMIF($D$16:$D$22,$C66,$F$16:$F$22)+SUMIF($D$33:$D$35,$C66,$F$33:$F$35)+SUMIF($D$44:$D$48,$C66,$F$44:$F$48)+SUMIF($D$29:$D$30,$C66,$F$29:$F$30)</f>
        <v/>
      </c>
      <c r="F66" s="148" t="n"/>
      <c r="G66" s="157" t="n"/>
      <c r="H66" s="95" t="n"/>
      <c r="I66" s="73" t="n"/>
      <c r="J66" s="84">
        <f>SUMIF($I$4:$I$10,$H66,$K$4:$K$10)+SUMIF($I$16:$I$22,$H66,$K$16:$K$22)+SUMIF($I$33:$I$35,$H66,$K$33:$K$35)+SUMIF($I$44:$I$48,$H66,$K$44:$K$48)+SUMIF($I$29:$I$30,$H66,$K$29:$K$30)</f>
        <v/>
      </c>
      <c r="K66" s="148" t="n"/>
      <c r="L66" s="157" t="n"/>
      <c r="M66" s="95" t="inlineStr">
        <is>
          <t>62xxxxxx</t>
        </is>
      </c>
      <c r="N66" s="73" t="inlineStr">
        <is>
          <t>辦公室費用</t>
        </is>
      </c>
      <c r="O66" s="84">
        <f>SUMIF($N$4:$N$10,$M66,$P$4:$P$10)+SUMIF($N$16:$N$22,$M66,$P$16:$P$22)+SUMIF($N$33:$N$35,$M66,$P$33:$P$35)+SUMIF($N$44:$N$48,$M66,$P$44:$P$48)+SUMIF($N$29:$N$30,$M66,$P$29:$P$30)</f>
        <v/>
      </c>
      <c r="P66" s="148" t="n"/>
      <c r="Q66" s="157" t="n"/>
      <c r="R66" s="95" t="inlineStr">
        <is>
          <t>62xxxxxx</t>
        </is>
      </c>
      <c r="S66" s="73" t="inlineStr">
        <is>
          <t>辦公室費用</t>
        </is>
      </c>
      <c r="T66" s="84">
        <f>SUMIF($S$4:$S$10,$R66,$U$4:$U$10)+SUMIF($S$16:$S$22,$R66,$U$16:$U$22)+SUMIF($S$33:$S$35,$R66,$U$33:$U$35)+SUMIF($S$44:$S$48,$R66,$U$44:$U$48)+SUMIF($S$29:$S$30,$R66,$U$29:$U$30)</f>
        <v/>
      </c>
      <c r="U66" s="148" t="n"/>
      <c r="V66" s="157" t="n"/>
    </row>
    <row r="67">
      <c r="A67" s="145" t="n"/>
      <c r="B67" s="163" t="n"/>
      <c r="C67" s="72" t="n"/>
      <c r="D67" s="73" t="n"/>
      <c r="E67" s="84" t="n"/>
      <c r="F67" s="148" t="n"/>
      <c r="G67" s="157" t="n"/>
      <c r="H67" s="72" t="n"/>
      <c r="I67" s="73" t="n"/>
      <c r="J67" s="84">
        <f>SUMIF($I$4:$I$10,$H67,$K$4:$K$10)+SUMIF($I$16:$I$22,$H67,$K$16:$K$22)+SUMIF($I$33:$I$35,$H67,$K$33:$K$35)+SUMIF($I$44:$I$48,$H67,$K$44:$K$48)+SUMIF($I$29:$I$30,$H67,$K$29:$K$30)</f>
        <v/>
      </c>
      <c r="K67" s="148" t="n"/>
      <c r="L67" s="157" t="n"/>
      <c r="M67" s="95" t="n">
        <v>62109999</v>
      </c>
      <c r="N67" s="73" t="inlineStr">
        <is>
          <t>人事分攤</t>
        </is>
      </c>
      <c r="O67" s="84">
        <f>SUMIF($N$4:$N$10,$M67,$P$4:$P$10)+SUMIF($N$16:$N$22,$M67,$P$16:$P$22)+SUMIF($N$33:$N$35,$M67,$P$33:$P$35)+SUMIF($N$44:$N$48,$M67,$P$44:$P$48)+SUMIF($N$29:$N$30,$M67,$P$29:$P$30)</f>
        <v/>
      </c>
      <c r="P67" s="148" t="n"/>
      <c r="Q67" s="157" t="n"/>
      <c r="R67" s="95" t="n">
        <v>62109999</v>
      </c>
      <c r="S67" s="73" t="inlineStr">
        <is>
          <t>人事分攤</t>
        </is>
      </c>
      <c r="T67" s="84">
        <f>SUMIF($S$4:$S$10,$R67,$U$4:$U$10)+SUMIF($S$16:$S$22,$R67,$U$16:$U$22)+SUMIF($S$33:$S$35,$R67,$U$33:$U$35)+SUMIF($S$44:$S$48,$R67,$U$44:$U$48)+SUMIF($S$29:$S$30,$R67,$U$29:$U$30)</f>
        <v/>
      </c>
      <c r="U67" s="148" t="n"/>
      <c r="V67" s="157" t="n"/>
    </row>
    <row r="68">
      <c r="A68" s="145" t="n"/>
      <c r="B68" s="163" t="n"/>
      <c r="C68" s="72" t="n"/>
      <c r="D68" s="73" t="n"/>
      <c r="E68" s="84" t="n"/>
      <c r="F68" s="148" t="n"/>
      <c r="G68" s="157" t="n"/>
      <c r="H68" s="72" t="n"/>
      <c r="I68" s="73" t="n"/>
      <c r="J68" s="84">
        <f>SUMIF($I$4:$I$10,$H68,$K$4:$K$10)+SUMIF($I$16:$I$22,$H68,$K$16:$K$22)+SUMIF($I$33:$I$35,$H68,$K$33:$K$35)+SUMIF($I$44:$I$48,$H68,$K$44:$K$48)+SUMIF($I$29:$I$30,$H68,$K$29:$K$30)</f>
        <v/>
      </c>
      <c r="K68" s="148" t="n"/>
      <c r="L68" s="157" t="n"/>
      <c r="M68" s="95" t="n">
        <v>62370099</v>
      </c>
      <c r="N68" s="73" t="inlineStr">
        <is>
          <t>勞務費-收回投標費</t>
        </is>
      </c>
      <c r="O68" s="84">
        <f>SUMIF($N$4:$N$10,$M68,$P$4:$P$10)+SUMIF($N$16:$N$22,$M68,$P$16:$P$22)+SUMIF($N$33:$N$35,$M68,$P$33:$P$35)+SUMIF($N$44:$N$48,$M68,$P$44:$P$48)+SUMIF($N$29:$N$30,$M68,$P$29:$P$30)</f>
        <v/>
      </c>
      <c r="P68" s="148" t="n"/>
      <c r="Q68" s="157" t="n"/>
      <c r="R68" s="95" t="n">
        <v>62370099</v>
      </c>
      <c r="S68" s="73" t="inlineStr">
        <is>
          <t>勞務費-收回投標費</t>
        </is>
      </c>
      <c r="T68" s="84">
        <f>SUMIF($S$4:$S$10,$R68,$U$4:$U$10)+SUMIF($S$16:$S$22,$R68,$U$16:$U$22)+SUMIF($S$33:$S$35,$R68,$U$33:$U$35)+SUMIF($S$44:$S$48,$R68,$U$44:$U$48)+SUMIF($S$29:$S$30,$R68,$U$29:$U$30)</f>
        <v/>
      </c>
      <c r="U68" s="148" t="n"/>
      <c r="V68" s="157" t="n"/>
    </row>
    <row r="69">
      <c r="A69" s="145" t="n"/>
      <c r="B69" s="163" t="n"/>
      <c r="C69" s="72" t="n"/>
      <c r="D69" s="73" t="n"/>
      <c r="E69" s="84">
        <f>SUMIF($D$4:$D$10,$C69,$F$4:$F$10)+SUMIF($D$16:$D$22,$C69,$F$16:$F$22)+SUMIF($D$33:$D$35,$C69,$F$33:$F$35)+SUMIF($D$44:$D$48,$C69,$F$44:$F$48)+SUMIF($D$29:$D$30,$C69,$F$29:$F$30)</f>
        <v/>
      </c>
      <c r="F69" s="148" t="n"/>
      <c r="G69" s="157" t="n"/>
      <c r="H69" s="95" t="n"/>
      <c r="I69" s="73" t="n"/>
      <c r="J69" s="84">
        <f>SUMIF($I$4:$I$10,$H69,$K$4:$K$10)+SUMIF($I$16:$I$22,$H69,$K$16:$K$22)+SUMIF($I$33:$I$35,$H69,$K$33:$K$35)+SUMIF($I$44:$I$48,$H69,$K$44:$K$48)+SUMIF($I$29:$I$30,$H69,$K$29:$K$30)</f>
        <v/>
      </c>
      <c r="K69" s="148" t="n"/>
      <c r="L69" s="157" t="n"/>
      <c r="M69" s="95" t="n">
        <v>62350099</v>
      </c>
      <c r="N69" s="73" t="inlineStr">
        <is>
          <t>電腦out charge</t>
        </is>
      </c>
      <c r="O69" s="84">
        <f>SUMIF($N$4:$N$10,$M69,$P$4:$P$10)+SUMIF($N$16:$N$22,$M69,$P$16:$P$22)+SUMIF($N$33:$N$35,$M69,$P$33:$P$35)+SUMIF($N$44:$N$48,$M69,$P$44:$P$48)+SUMIF($N$29:$N$30,$M69,$P$29:$P$30)</f>
        <v/>
      </c>
      <c r="P69" s="148" t="n"/>
      <c r="Q69" s="157" t="n"/>
      <c r="R69" s="95" t="n">
        <v>62350099</v>
      </c>
      <c r="S69" s="73" t="inlineStr">
        <is>
          <t>電腦out charge</t>
        </is>
      </c>
      <c r="T69" s="84">
        <f>SUMIF($S$4:$S$10,$R69,$U$4:$U$10)+SUMIF($S$16:$S$22,$R69,$U$16:$U$22)+SUMIF($S$33:$S$35,$R69,$U$33:$U$35)+SUMIF($S$44:$S$48,$R69,$U$44:$U$48)+SUMIF($S$29:$S$30,$R69,$U$29:$U$30)</f>
        <v/>
      </c>
      <c r="U69" s="148" t="n"/>
      <c r="V69" s="157" t="n"/>
    </row>
    <row r="70">
      <c r="A70" s="145" t="n"/>
      <c r="B70" s="163" t="n"/>
      <c r="C70" s="72" t="inlineStr">
        <is>
          <t>63xxxxxx</t>
        </is>
      </c>
      <c r="D70" s="73" t="inlineStr">
        <is>
          <t>工程費用</t>
        </is>
      </c>
      <c r="E70" s="84">
        <f>SUMIF($D$4:$D$10,$C70,$F$4:$F$10)+SUMIF($D$16:$D$22,$C70,$F$16:$F$22)+SUMIF($D$33:$D$35,$C70,$F$33:$F$35)+SUMIF($D$44:$D$48,$C70,$F$44:$F$48)+SUMIF($D$29:$D$30,$C70,$F$29:$F$30)</f>
        <v/>
      </c>
      <c r="F70" s="148" t="n"/>
      <c r="G70" s="157" t="n"/>
      <c r="H70" s="95" t="inlineStr">
        <is>
          <t>63xxxxxx</t>
        </is>
      </c>
      <c r="I70" s="73" t="inlineStr">
        <is>
          <t>工程費用</t>
        </is>
      </c>
      <c r="J70" s="84">
        <f>SUMIF($I$4:$I$10,$H70,$K$4:$K$10)+SUMIF($I$16:$I$22,$H70,$K$16:$K$22)+SUMIF($I$33:$I$35,$H70,$K$33:$K$35)+SUMIF($I$44:$I$48,$H70,$K$44:$K$48)+SUMIF($I$29:$I$30,$H70,$K$29:$K$30)</f>
        <v/>
      </c>
      <c r="K70" s="148" t="n"/>
      <c r="L70" s="157" t="n"/>
      <c r="M70" s="95" t="inlineStr">
        <is>
          <t>63xxxxxx</t>
        </is>
      </c>
      <c r="N70" s="73" t="inlineStr">
        <is>
          <t>工程費用</t>
        </is>
      </c>
      <c r="O70" s="84">
        <f>SUMIF($N$4:$N$10,$M70,$P$4:$P$10)+SUMIF($N$16:$N$22,$M70,$P$16:$P$22)+SUMIF($N$33:$N$35,$M70,$P$33:$P$35)+SUMIF($N$44:$N$48,$M70,$P$44:$P$48)+SUMIF($N$29:$N$30,$M70,$P$29:$P$30)</f>
        <v/>
      </c>
      <c r="P70" s="148" t="n"/>
      <c r="Q70" s="157" t="n"/>
      <c r="R70" s="95" t="inlineStr">
        <is>
          <t>63xxxxxx</t>
        </is>
      </c>
      <c r="S70" s="73" t="inlineStr">
        <is>
          <t>工程費用</t>
        </is>
      </c>
      <c r="T70" s="84">
        <f>SUMIF($S$4:$S$10,$R70,$U$4:$U$10)+SUMIF($S$16:$S$22,$R70,$U$16:$U$22)+SUMIF($S$33:$S$35,$R70,$U$33:$U$35)+SUMIF($S$44:$S$48,$R70,$U$44:$U$48)+SUMIF($S$29:$S$30,$R70,$U$29:$U$30)</f>
        <v/>
      </c>
      <c r="U70" s="148" t="n"/>
      <c r="V70" s="157" t="n"/>
    </row>
    <row r="71" ht="16.2" customHeight="1" s="134" thickBot="1">
      <c r="A71" s="146" t="n"/>
      <c r="B71" s="164" t="n"/>
      <c r="C71" s="74" t="n">
        <v>63810030</v>
      </c>
      <c r="D71" s="75" t="inlineStr">
        <is>
          <t>工程費用轉在建工程</t>
        </is>
      </c>
      <c r="E71" s="85">
        <f>SUMIF($D$4:$D$10,$C71,$F$4:$F$10)+SUMIF($D$16:$D$22,$C71,$F$16:$F$22)+SUMIF($D$33:$D$35,$C71,$F$33:$F$35)+SUMIF($D$44:$D$48,$C71,$F$44:$F$48)+SUMIF($D$29:$D$30,$C71,$F$29:$F$30)</f>
        <v/>
      </c>
      <c r="F71" s="154" t="n"/>
      <c r="G71" s="161" t="n"/>
      <c r="H71" s="96" t="n">
        <v>63810030</v>
      </c>
      <c r="I71" s="75" t="inlineStr">
        <is>
          <t>工程費用轉在建工程</t>
        </is>
      </c>
      <c r="J71" s="85">
        <f>SUMIF($I$4:$I$10,$H71,$K$4:$K$10)+SUMIF($I$16:$I$22,$H71,$K$16:$K$22)+SUMIF($I$33:$I$35,$H71,$K$33:$K$35)+SUMIF($I$44:$I$48,$H71,$K$44:$K$48)+SUMIF($I$29:$I$30,$H71,$K$29:$K$30)</f>
        <v/>
      </c>
      <c r="K71" s="154" t="n"/>
      <c r="L71" s="161" t="n"/>
      <c r="M71" s="96" t="n">
        <v>63810030</v>
      </c>
      <c r="N71" s="75" t="inlineStr">
        <is>
          <t>工程費用轉在建工程</t>
        </is>
      </c>
      <c r="O71" s="85">
        <f>SUMIF($N$4:$N$10,$M71,$P$4:$P$10)+SUMIF($N$16:$N$22,$M71,$P$16:$P$22)+SUMIF($N$33:$N$35,$M71,$P$33:$P$35)+SUMIF($N$44:$N$48,$M71,$P$44:$P$48)+SUMIF($N$29:$N$30,$M71,$P$29:$P$30)</f>
        <v/>
      </c>
      <c r="P71" s="154" t="n"/>
      <c r="Q71" s="161" t="n"/>
      <c r="R71" s="96" t="n">
        <v>63810030</v>
      </c>
      <c r="S71" s="75" t="inlineStr">
        <is>
          <t>工程費用轉在建工程</t>
        </is>
      </c>
      <c r="T71" s="85">
        <f>SUMIF($S$4:$S$10,$R71,$U$4:$U$10)+SUMIF($S$16:$S$22,$R71,$U$16:$U$22)+SUMIF($S$33:$S$35,$R71,$U$33:$U$35)+SUMIF($S$44:$S$48,$R71,$U$44:$U$48)+SUMIF($S$29:$S$30,$R71,$U$29:$U$30)</f>
        <v/>
      </c>
      <c r="U71" s="154" t="n"/>
      <c r="V71" s="161" t="n"/>
    </row>
    <row r="72">
      <c r="A72" s="27" t="n"/>
      <c r="B72" s="28" t="n"/>
      <c r="C72" s="29" t="n"/>
      <c r="D72" s="30" t="inlineStr">
        <is>
          <t>check</t>
        </is>
      </c>
      <c r="E72" s="170">
        <f>SUM(E52:E71)</f>
        <v/>
      </c>
      <c r="F72" s="170">
        <f>SUM(F52:F71)</f>
        <v/>
      </c>
      <c r="G72" s="27" t="n"/>
      <c r="J72" s="170">
        <f>SUM(J52:J71)</f>
        <v/>
      </c>
      <c r="K72" s="170">
        <f>SUM(K52:K71)</f>
        <v/>
      </c>
      <c r="O72" s="170">
        <f>SUM(O52:O71)</f>
        <v/>
      </c>
      <c r="P72" s="170">
        <f>SUM(P52:P71)</f>
        <v/>
      </c>
      <c r="T72" s="170">
        <f>SUM(T52:T71)</f>
        <v/>
      </c>
      <c r="U72" s="170">
        <f>SUM(U52:U71)</f>
        <v/>
      </c>
    </row>
    <row r="75" ht="16.2" customHeight="1" s="134" thickBot="1"/>
    <row r="76" ht="16.2" customHeight="1" s="134" thickTop="1">
      <c r="C76" s="2" t="inlineStr">
        <is>
          <t>假設:</t>
        </is>
      </c>
      <c r="D76" s="10" t="n"/>
      <c r="E76" s="11" t="n"/>
    </row>
    <row r="77">
      <c r="C77" s="14" t="n"/>
      <c r="D77" s="3" t="inlineStr">
        <is>
          <t>合約總價</t>
        </is>
      </c>
      <c r="E77" s="15" t="n">
        <v>1000</v>
      </c>
    </row>
    <row r="78">
      <c r="C78" s="14" t="n"/>
      <c r="D78" s="3" t="inlineStr">
        <is>
          <t>預估完工總成本</t>
        </is>
      </c>
      <c r="E78" s="18" t="n">
        <v>950</v>
      </c>
    </row>
    <row r="79">
      <c r="C79" s="14" t="n"/>
      <c r="D79" s="3" t="inlineStr">
        <is>
          <t>預估毛利</t>
        </is>
      </c>
      <c r="E79" s="133">
        <f>E77-E78</f>
        <v/>
      </c>
    </row>
    <row r="80">
      <c r="C80" s="14" t="n"/>
      <c r="D80" s="3" t="inlineStr">
        <is>
          <t>預估毛利率</t>
        </is>
      </c>
      <c r="E80" s="21">
        <f>E79/E77</f>
        <v/>
      </c>
    </row>
    <row r="81">
      <c r="C81" s="14" t="n"/>
      <c r="D81" s="3" t="inlineStr">
        <is>
          <t>本月提列虧損準備(虧損專案)</t>
        </is>
      </c>
      <c r="E81" s="24" t="n">
        <v>10</v>
      </c>
    </row>
    <row r="82">
      <c r="C82" s="14" t="n"/>
      <c r="D82" s="3" t="inlineStr">
        <is>
          <t>本月投入成本</t>
        </is>
      </c>
      <c r="E82" s="24" t="n">
        <v>100</v>
      </c>
    </row>
    <row r="83">
      <c r="C83" s="14" t="n"/>
      <c r="D83" s="3" t="inlineStr">
        <is>
          <t>本月開立發票(未稅)</t>
        </is>
      </c>
      <c r="E83" s="25" t="n">
        <v>120</v>
      </c>
    </row>
    <row r="84">
      <c r="C84" s="14" t="n"/>
      <c r="D84" s="3" t="n"/>
      <c r="E84" s="20" t="n"/>
    </row>
    <row r="85" ht="16.2" customHeight="1" s="134" thickBot="1">
      <c r="C85" s="26" t="n"/>
      <c r="D85" s="4" t="inlineStr">
        <is>
          <t>完工百分比</t>
        </is>
      </c>
      <c r="E85" s="132">
        <f>E82/E78</f>
        <v/>
      </c>
    </row>
    <row r="86" ht="16.2" customHeight="1" s="134" thickTop="1"/>
  </sheetData>
  <mergeCells count="25">
    <mergeCell ref="B52:B60"/>
    <mergeCell ref="U61:U71"/>
    <mergeCell ref="B61:B71"/>
    <mergeCell ref="F52:F54"/>
    <mergeCell ref="U52:U54"/>
    <mergeCell ref="M2:Q2"/>
    <mergeCell ref="P61:P71"/>
    <mergeCell ref="K61:K71"/>
    <mergeCell ref="L52:L54"/>
    <mergeCell ref="G52:G54"/>
    <mergeCell ref="V52:V54"/>
    <mergeCell ref="H2:L2"/>
    <mergeCell ref="F61:F71"/>
    <mergeCell ref="M1:V1"/>
    <mergeCell ref="C2:G2"/>
    <mergeCell ref="A52:A71"/>
    <mergeCell ref="Q61:Q71"/>
    <mergeCell ref="C1:L1"/>
    <mergeCell ref="Q52:Q54"/>
    <mergeCell ref="V61:V71"/>
    <mergeCell ref="L61:L71"/>
    <mergeCell ref="P52:P54"/>
    <mergeCell ref="G61:G71"/>
    <mergeCell ref="R2:V2"/>
    <mergeCell ref="K52:K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6.2"/>
  <cols>
    <col width="46" customWidth="1" style="134" min="1" max="1"/>
    <col width="14" customWidth="1" style="134" min="2" max="5"/>
  </cols>
  <sheetData>
    <row r="1">
      <c r="A1" s="135" t="inlineStr">
        <is>
          <t>A. 每筆分錄借貸差（應為0）</t>
        </is>
      </c>
      <c r="G1" s="135" t="inlineStr">
        <is>
          <t>輔助：主表每列（非BIM列記為空）</t>
        </is>
      </c>
    </row>
    <row r="2">
      <c r="A2" s="0" t="inlineStr">
        <is>
          <t>分錄</t>
        </is>
      </c>
      <c r="B2" s="135" t="inlineStr">
        <is>
          <t>內案POC</t>
        </is>
      </c>
      <c r="C2" s="135" t="inlineStr">
        <is>
          <t>外案POC</t>
        </is>
      </c>
      <c r="D2" s="135" t="inlineStr">
        <is>
          <t>雜項</t>
        </is>
      </c>
      <c r="E2" s="135" t="inlineStr">
        <is>
          <t>備標</t>
        </is>
      </c>
    </row>
    <row r="3">
      <c r="A3" s="0" t="inlineStr">
        <is>
          <t>1 費用入帳（第4-6列）</t>
        </is>
      </c>
      <c r="B3" s="171">
        <f>ROUND(SUM(工作表1!F4:F6),6)</f>
        <v/>
      </c>
      <c r="C3" s="171">
        <f>ROUND(SUM(工作表1!K4:K6),6)</f>
        <v/>
      </c>
      <c r="D3" s="171">
        <f>ROUND(SUM(工作表1!P4:P6),6)</f>
        <v/>
      </c>
      <c r="E3" s="171">
        <f>ROUND(SUM(工作表1!U4:U6),6)</f>
        <v/>
      </c>
      <c r="H3" s="0" t="inlineStr">
        <is>
          <t>內案POC類別</t>
        </is>
      </c>
      <c r="I3" s="0" t="inlineStr">
        <is>
          <t>內案POC金額</t>
        </is>
      </c>
      <c r="J3" s="0" t="inlineStr">
        <is>
          <t>內案POC未入總結</t>
        </is>
      </c>
      <c r="K3" s="0" t="inlineStr">
        <is>
          <t>外案POC類別</t>
        </is>
      </c>
      <c r="L3" s="0" t="inlineStr">
        <is>
          <t>外案POC金額</t>
        </is>
      </c>
      <c r="M3" s="0" t="inlineStr">
        <is>
          <t>外案POC未入總結</t>
        </is>
      </c>
      <c r="N3" s="0" t="inlineStr">
        <is>
          <t>雜項類別</t>
        </is>
      </c>
      <c r="O3" s="0" t="inlineStr">
        <is>
          <t>雜項金額</t>
        </is>
      </c>
      <c r="P3" s="0" t="inlineStr">
        <is>
          <t>雜項未入總結</t>
        </is>
      </c>
      <c r="Q3" s="0" t="inlineStr">
        <is>
          <t>備標類別</t>
        </is>
      </c>
      <c r="R3" s="0" t="inlineStr">
        <is>
          <t>備標金額</t>
        </is>
      </c>
      <c r="S3" s="0" t="inlineStr">
        <is>
          <t>備標未入總結</t>
        </is>
      </c>
    </row>
    <row r="4">
      <c r="A4" s="0" t="inlineStr">
        <is>
          <t>2 費用轉列成本（第8-10列）</t>
        </is>
      </c>
      <c r="B4" s="171">
        <f>ROUND(SUM(工作表1!F8:F10),6)</f>
        <v/>
      </c>
      <c r="C4" s="171">
        <f>ROUND(SUM(工作表1!K8:K10),6)</f>
        <v/>
      </c>
      <c r="D4" s="171">
        <f>ROUND(SUM(工作表1!P8:P10),6)</f>
        <v/>
      </c>
      <c r="E4" s="171">
        <f>ROUND(SUM(工作表1!U8:U10),6)</f>
        <v/>
      </c>
      <c r="H4" s="0">
        <f>IF(工作表1!D4="","",LEFT(工作表1!D4,1))</f>
        <v/>
      </c>
      <c r="I4" s="0">
        <f>IF(ISNUMBER(工作表1!F4),工作表1!F4,0)</f>
        <v/>
      </c>
      <c r="J4" s="0">
        <f>IF(工作表1!D4="",0,IF(COUNTIF(工作表1!$C$52:$C$71,工作表1!D4)&gt;0,0,1))</f>
        <v/>
      </c>
      <c r="K4" s="0">
        <f>IF(工作表1!I4="","",LEFT(工作表1!I4,1))</f>
        <v/>
      </c>
      <c r="L4" s="0">
        <f>IF(ISNUMBER(工作表1!K4),工作表1!K4,0)</f>
        <v/>
      </c>
      <c r="M4" s="0">
        <f>IF(工作表1!I4="",0,IF(COUNTIF(工作表1!$H$52:$H$71,工作表1!I4)&gt;0,0,1))</f>
        <v/>
      </c>
      <c r="N4" s="0">
        <f>IF(工作表1!N4="","",LEFT(工作表1!N4,1))</f>
        <v/>
      </c>
      <c r="O4" s="0">
        <f>IF(ISNUMBER(工作表1!P4),工作表1!P4,0)</f>
        <v/>
      </c>
      <c r="P4" s="0">
        <f>IF(工作表1!N4="",0,IF(COUNTIF(工作表1!$M$52:$M$71,工作表1!N4)&gt;0,0,1))</f>
        <v/>
      </c>
      <c r="Q4" s="0">
        <f>IF(工作表1!S4="","",LEFT(工作表1!S4,1))</f>
        <v/>
      </c>
      <c r="R4" s="0">
        <f>IF(ISNUMBER(工作表1!U4),工作表1!U4,0)</f>
        <v/>
      </c>
      <c r="S4" s="0">
        <f>IF(工作表1!S4="",0,IF(COUNTIF(工作表1!$R$52:$R$71,工作表1!S4)&gt;0,0,1))</f>
        <v/>
      </c>
    </row>
    <row r="5">
      <c r="A5" s="0" t="inlineStr">
        <is>
          <t>2 ELIA(備標)（第12-15列）</t>
        </is>
      </c>
      <c r="B5" s="171">
        <f>ROUND(SUM(工作表1!F12:F15),6)</f>
        <v/>
      </c>
      <c r="C5" s="171">
        <f>ROUND(SUM(工作表1!K12:K15),6)</f>
        <v/>
      </c>
      <c r="D5" s="171">
        <f>ROUND(SUM(工作表1!P12:P15),6)</f>
        <v/>
      </c>
      <c r="E5" s="171">
        <f>ROUND(SUM(工作表1!U12:U15),6)</f>
        <v/>
      </c>
      <c r="H5" s="0">
        <f>IF(工作表1!D5="","",LEFT(工作表1!D5,1))</f>
        <v/>
      </c>
      <c r="I5" s="0">
        <f>IF(ISNUMBER(工作表1!F5),工作表1!F5,0)</f>
        <v/>
      </c>
      <c r="J5" s="0">
        <f>IF(工作表1!D5="",0,IF(COUNTIF(工作表1!$C$52:$C$71,工作表1!D5)&gt;0,0,1))</f>
        <v/>
      </c>
      <c r="K5" s="0">
        <f>IF(工作表1!I5="","",LEFT(工作表1!I5,1))</f>
        <v/>
      </c>
      <c r="L5" s="0">
        <f>IF(ISNUMBER(工作表1!K5),工作表1!K5,0)</f>
        <v/>
      </c>
      <c r="M5" s="0">
        <f>IF(工作表1!I5="",0,IF(COUNTIF(工作表1!$H$52:$H$71,工作表1!I5)&gt;0,0,1))</f>
        <v/>
      </c>
      <c r="N5" s="0">
        <f>IF(工作表1!N5="","",LEFT(工作表1!N5,1))</f>
        <v/>
      </c>
      <c r="O5" s="0">
        <f>IF(ISNUMBER(工作表1!P5),工作表1!P5,0)</f>
        <v/>
      </c>
      <c r="P5" s="0">
        <f>IF(工作表1!N5="",0,IF(COUNTIF(工作表1!$M$52:$M$71,工作表1!N5)&gt;0,0,1))</f>
        <v/>
      </c>
      <c r="Q5" s="0">
        <f>IF(工作表1!S5="","",LEFT(工作表1!S5,1))</f>
        <v/>
      </c>
      <c r="R5" s="0">
        <f>IF(ISNUMBER(工作表1!U5),工作表1!U5,0)</f>
        <v/>
      </c>
      <c r="S5" s="0">
        <f>IF(工作表1!S5="",0,IF(COUNTIF(工作表1!$R$52:$R$71,工作表1!S5)&gt;0,0,1))</f>
        <v/>
      </c>
    </row>
    <row r="6">
      <c r="A6" s="0" t="inlineStr">
        <is>
          <t>3 月底結轉在建（第16-17列）</t>
        </is>
      </c>
      <c r="B6" s="171">
        <f>ROUND(SUM(工作表1!F16:F17),6)</f>
        <v/>
      </c>
      <c r="C6" s="171">
        <f>ROUND(SUM(工作表1!K16:K17),6)</f>
        <v/>
      </c>
      <c r="D6" s="171">
        <f>ROUND(SUM(工作表1!P16:P17),6)</f>
        <v/>
      </c>
      <c r="E6" s="171">
        <f>ROUND(SUM(工作表1!U16:U17),6)</f>
        <v/>
      </c>
      <c r="H6" s="0">
        <f>IF(工作表1!D6="","",LEFT(工作表1!D6,1))</f>
        <v/>
      </c>
      <c r="I6" s="0">
        <f>IF(ISNUMBER(工作表1!F6),工作表1!F6,0)</f>
        <v/>
      </c>
      <c r="J6" s="0">
        <f>IF(工作表1!D6="",0,IF(COUNTIF(工作表1!$C$52:$C$71,工作表1!D6)&gt;0,0,1))</f>
        <v/>
      </c>
      <c r="K6" s="0">
        <f>IF(工作表1!I6="","",LEFT(工作表1!I6,1))</f>
        <v/>
      </c>
      <c r="L6" s="0">
        <f>IF(ISNUMBER(工作表1!K6),工作表1!K6,0)</f>
        <v/>
      </c>
      <c r="M6" s="0">
        <f>IF(工作表1!I6="",0,IF(COUNTIF(工作表1!$H$52:$H$71,工作表1!I6)&gt;0,0,1))</f>
        <v/>
      </c>
      <c r="N6" s="0">
        <f>IF(工作表1!N6="","",LEFT(工作表1!N6,1))</f>
        <v/>
      </c>
      <c r="O6" s="0">
        <f>IF(ISNUMBER(工作表1!P6),工作表1!P6,0)</f>
        <v/>
      </c>
      <c r="P6" s="0">
        <f>IF(工作表1!N6="",0,IF(COUNTIF(工作表1!$M$52:$M$71,工作表1!N6)&gt;0,0,1))</f>
        <v/>
      </c>
      <c r="Q6" s="0">
        <f>IF(工作表1!S6="","",LEFT(工作表1!S6,1))</f>
        <v/>
      </c>
      <c r="R6" s="0">
        <f>IF(ISNUMBER(工作表1!U6),工作表1!U6,0)</f>
        <v/>
      </c>
      <c r="S6" s="0">
        <f>IF(工作表1!S6="",0,IF(COUNTIF(工作表1!$R$52:$R$71,工作表1!S6)&gt;0,0,1))</f>
        <v/>
      </c>
    </row>
    <row r="7">
      <c r="A7" s="0" t="inlineStr">
        <is>
          <t>4 完工百分比認列（第20-22列）</t>
        </is>
      </c>
      <c r="B7" s="171">
        <f>ROUND(SUM(工作表1!F20:F22),6)</f>
        <v/>
      </c>
      <c r="C7" s="171">
        <f>ROUND(SUM(工作表1!K20:K22),6)</f>
        <v/>
      </c>
      <c r="D7" s="171">
        <f>ROUND(SUM(工作表1!P20:P22),6)</f>
        <v/>
      </c>
      <c r="E7" s="171">
        <f>ROUND(SUM(工作表1!U20:U22),6)</f>
        <v/>
      </c>
      <c r="H7" s="0">
        <f>IF(工作表1!D7="","",LEFT(工作表1!D7,1))</f>
        <v/>
      </c>
      <c r="I7" s="0">
        <f>IF(ISNUMBER(工作表1!F7),工作表1!F7,0)</f>
        <v/>
      </c>
      <c r="J7" s="0">
        <f>IF(工作表1!D7="",0,IF(COUNTIF(工作表1!$C$52:$C$71,工作表1!D7)&gt;0,0,1))</f>
        <v/>
      </c>
      <c r="K7" s="0">
        <f>IF(工作表1!I7="","",LEFT(工作表1!I7,1))</f>
        <v/>
      </c>
      <c r="L7" s="0">
        <f>IF(ISNUMBER(工作表1!K7),工作表1!K7,0)</f>
        <v/>
      </c>
      <c r="M7" s="0">
        <f>IF(工作表1!I7="",0,IF(COUNTIF(工作表1!$H$52:$H$71,工作表1!I7)&gt;0,0,1))</f>
        <v/>
      </c>
      <c r="N7" s="0">
        <f>IF(工作表1!N7="","",LEFT(工作表1!N7,1))</f>
        <v/>
      </c>
      <c r="O7" s="0">
        <f>IF(ISNUMBER(工作表1!P7),工作表1!P7,0)</f>
        <v/>
      </c>
      <c r="P7" s="0">
        <f>IF(工作表1!N7="",0,IF(COUNTIF(工作表1!$M$52:$M$71,工作表1!N7)&gt;0,0,1))</f>
        <v/>
      </c>
      <c r="Q7" s="0">
        <f>IF(工作表1!S7="","",LEFT(工作表1!S7,1))</f>
        <v/>
      </c>
      <c r="R7" s="0">
        <f>IF(ISNUMBER(工作表1!U7),工作表1!U7,0)</f>
        <v/>
      </c>
      <c r="S7" s="0">
        <f>IF(工作表1!S7="",0,IF(COUNTIF(工作表1!$R$52:$R$71,工作表1!S7)&gt;0,0,1))</f>
        <v/>
      </c>
    </row>
    <row r="8">
      <c r="A8" s="0" t="inlineStr">
        <is>
          <t>4 ELIA（第24-26列）</t>
        </is>
      </c>
      <c r="B8" s="171">
        <f>ROUND(SUM(工作表1!F24:F26),6)</f>
        <v/>
      </c>
      <c r="C8" s="171">
        <f>ROUND(SUM(工作表1!K24:K26),6)</f>
        <v/>
      </c>
      <c r="D8" s="171">
        <f>ROUND(SUM(工作表1!P24:P26),6)</f>
        <v/>
      </c>
      <c r="E8" s="171">
        <f>ROUND(SUM(工作表1!U24:U26),6)</f>
        <v/>
      </c>
      <c r="H8" s="0">
        <f>IF(工作表1!D8="","",LEFT(工作表1!D8,1))</f>
        <v/>
      </c>
      <c r="I8" s="0">
        <f>IF(ISNUMBER(工作表1!F8),工作表1!F8,0)</f>
        <v/>
      </c>
      <c r="J8" s="0">
        <f>IF(工作表1!D8="",0,IF(COUNTIF(工作表1!$C$52:$C$71,工作表1!D8)&gt;0,0,1))</f>
        <v/>
      </c>
      <c r="K8" s="0">
        <f>IF(工作表1!I8="","",LEFT(工作表1!I8,1))</f>
        <v/>
      </c>
      <c r="L8" s="0">
        <f>IF(ISNUMBER(工作表1!K8),工作表1!K8,0)</f>
        <v/>
      </c>
      <c r="M8" s="0">
        <f>IF(工作表1!I8="",0,IF(COUNTIF(工作表1!$H$52:$H$71,工作表1!I8)&gt;0,0,1))</f>
        <v/>
      </c>
      <c r="N8" s="0">
        <f>IF(工作表1!N8="","",LEFT(工作表1!N8,1))</f>
        <v/>
      </c>
      <c r="O8" s="0">
        <f>IF(ISNUMBER(工作表1!P8),工作表1!P8,0)</f>
        <v/>
      </c>
      <c r="P8" s="0">
        <f>IF(工作表1!N8="",0,IF(COUNTIF(工作表1!$M$52:$M$71,工作表1!N8)&gt;0,0,1))</f>
        <v/>
      </c>
      <c r="Q8" s="0">
        <f>IF(工作表1!S8="","",LEFT(工作表1!S8,1))</f>
        <v/>
      </c>
      <c r="R8" s="0">
        <f>IF(ISNUMBER(工作表1!U8),工作表1!U8,0)</f>
        <v/>
      </c>
      <c r="S8" s="0">
        <f>IF(工作表1!S8="",0,IF(COUNTIF(工作表1!$R$52:$R$71,工作表1!S8)&gt;0,0,1))</f>
        <v/>
      </c>
    </row>
    <row r="9">
      <c r="A9" s="0" t="inlineStr">
        <is>
          <t>5 虧損專案（負債準備）（第29-30列）</t>
        </is>
      </c>
      <c r="B9" s="171">
        <f>ROUND(SUM(工作表1!F29:F30),6)</f>
        <v/>
      </c>
      <c r="C9" s="171">
        <f>ROUND(SUM(工作表1!K29:K30),6)</f>
        <v/>
      </c>
      <c r="D9" s="171">
        <f>ROUND(SUM(工作表1!P29:P30),6)</f>
        <v/>
      </c>
      <c r="E9" s="171">
        <f>ROUND(SUM(工作表1!U29:U30),6)</f>
        <v/>
      </c>
      <c r="H9" s="0">
        <f>IF(工作表1!D9="","",LEFT(工作表1!D9,1))</f>
        <v/>
      </c>
      <c r="I9" s="0">
        <f>IF(ISNUMBER(工作表1!F9),工作表1!F9,0)</f>
        <v/>
      </c>
      <c r="J9" s="0">
        <f>IF(工作表1!D9="",0,IF(COUNTIF(工作表1!$C$52:$C$71,工作表1!D9)&gt;0,0,1))</f>
        <v/>
      </c>
      <c r="K9" s="0">
        <f>IF(工作表1!I9="","",LEFT(工作表1!I9,1))</f>
        <v/>
      </c>
      <c r="L9" s="0">
        <f>IF(ISNUMBER(工作表1!K9),工作表1!K9,0)</f>
        <v/>
      </c>
      <c r="M9" s="0">
        <f>IF(工作表1!I9="",0,IF(COUNTIF(工作表1!$H$52:$H$71,工作表1!I9)&gt;0,0,1))</f>
        <v/>
      </c>
      <c r="N9" s="0">
        <f>IF(工作表1!N9="","",LEFT(工作表1!N9,1))</f>
        <v/>
      </c>
      <c r="O9" s="0">
        <f>IF(ISNUMBER(工作表1!P9),工作表1!P9,0)</f>
        <v/>
      </c>
      <c r="P9" s="0">
        <f>IF(工作表1!N9="",0,IF(COUNTIF(工作表1!$M$52:$M$71,工作表1!N9)&gt;0,0,1))</f>
        <v/>
      </c>
      <c r="Q9" s="0">
        <f>IF(工作表1!S9="","",LEFT(工作表1!S9,1))</f>
        <v/>
      </c>
      <c r="R9" s="0">
        <f>IF(ISNUMBER(工作表1!U9),工作表1!U9,0)</f>
        <v/>
      </c>
      <c r="S9" s="0">
        <f>IF(工作表1!S9="",0,IF(COUNTIF(工作表1!$R$52:$R$71,工作表1!S9)&gt;0,0,1))</f>
        <v/>
      </c>
    </row>
    <row r="10">
      <c r="A10" s="0" t="inlineStr">
        <is>
          <t>6 開立發票（第33-35列）</t>
        </is>
      </c>
      <c r="B10" s="171">
        <f>ROUND(SUM(工作表1!F33:F35),6)</f>
        <v/>
      </c>
      <c r="C10" s="171">
        <f>ROUND(SUM(工作表1!K33:K35),6)</f>
        <v/>
      </c>
      <c r="D10" s="171">
        <f>ROUND(SUM(工作表1!P33:P35),6)</f>
        <v/>
      </c>
      <c r="E10" s="171">
        <f>ROUND(SUM(工作表1!U33:U35),6)</f>
        <v/>
      </c>
      <c r="H10" s="0">
        <f>IF(工作表1!D10="","",LEFT(工作表1!D10,1))</f>
        <v/>
      </c>
      <c r="I10" s="0">
        <f>IF(ISNUMBER(工作表1!F10),工作表1!F10,0)</f>
        <v/>
      </c>
      <c r="J10" s="0">
        <f>IF(工作表1!D10="",0,IF(COUNTIF(工作表1!$C$52:$C$71,工作表1!D10)&gt;0,0,1))</f>
        <v/>
      </c>
      <c r="K10" s="0">
        <f>IF(工作表1!I10="","",LEFT(工作表1!I10,1))</f>
        <v/>
      </c>
      <c r="L10" s="0">
        <f>IF(ISNUMBER(工作表1!K10),工作表1!K10,0)</f>
        <v/>
      </c>
      <c r="M10" s="0">
        <f>IF(工作表1!I10="",0,IF(COUNTIF(工作表1!$H$52:$H$71,工作表1!I10)&gt;0,0,1))</f>
        <v/>
      </c>
      <c r="N10" s="0">
        <f>IF(工作表1!N10="","",LEFT(工作表1!N10,1))</f>
        <v/>
      </c>
      <c r="O10" s="0">
        <f>IF(ISNUMBER(工作表1!P10),工作表1!P10,0)</f>
        <v/>
      </c>
      <c r="P10" s="0">
        <f>IF(工作表1!N10="",0,IF(COUNTIF(工作表1!$M$52:$M$71,工作表1!N10)&gt;0,0,1))</f>
        <v/>
      </c>
      <c r="Q10" s="0">
        <f>IF(工作表1!S10="","",LEFT(工作表1!S10,1))</f>
        <v/>
      </c>
      <c r="R10" s="0">
        <f>IF(ISNUMBER(工作表1!U10),工作表1!U10,0)</f>
        <v/>
      </c>
      <c r="S10" s="0">
        <f>IF(工作表1!S10="",0,IF(COUNTIF(工作表1!$R$52:$R$71,工作表1!S10)&gt;0,0,1))</f>
        <v/>
      </c>
    </row>
    <row r="11">
      <c r="A11" s="0" t="inlineStr">
        <is>
          <t>6 TBU認列成本（第37-38列）</t>
        </is>
      </c>
      <c r="B11" s="171">
        <f>ROUND(SUM(工作表1!F37:F38),6)</f>
        <v/>
      </c>
      <c r="C11" s="171">
        <f>ROUND(SUM(工作表1!K37:K38),6)</f>
        <v/>
      </c>
      <c r="D11" s="171">
        <f>ROUND(SUM(工作表1!P37:P38),6)</f>
        <v/>
      </c>
      <c r="E11" s="171">
        <f>ROUND(SUM(工作表1!U37:U38),6)</f>
        <v/>
      </c>
      <c r="I11" s="0" t="n">
        <v>0</v>
      </c>
      <c r="J11" s="0" t="n">
        <v>0</v>
      </c>
      <c r="L11" s="0" t="n">
        <v>0</v>
      </c>
      <c r="M11" s="0" t="n">
        <v>0</v>
      </c>
      <c r="O11" s="0" t="n">
        <v>0</v>
      </c>
      <c r="P11" s="0" t="n">
        <v>0</v>
      </c>
      <c r="R11" s="0" t="n">
        <v>0</v>
      </c>
      <c r="S11" s="0" t="n">
        <v>0</v>
      </c>
    </row>
    <row r="12">
      <c r="A12" s="0" t="inlineStr">
        <is>
          <t>6 ELIA（第40-41列）</t>
        </is>
      </c>
      <c r="B12" s="171">
        <f>ROUND(SUM(工作表1!F40:F41),6)</f>
        <v/>
      </c>
      <c r="C12" s="171">
        <f>ROUND(SUM(工作表1!K40:K41),6)</f>
        <v/>
      </c>
      <c r="D12" s="171">
        <f>ROUND(SUM(工作表1!P40:P41),6)</f>
        <v/>
      </c>
      <c r="E12" s="171">
        <f>ROUND(SUM(工作表1!U40:U41),6)</f>
        <v/>
      </c>
      <c r="I12" s="0" t="n">
        <v>0</v>
      </c>
      <c r="J12" s="0" t="n">
        <v>0</v>
      </c>
      <c r="L12" s="0" t="n">
        <v>0</v>
      </c>
      <c r="M12" s="0" t="n">
        <v>0</v>
      </c>
      <c r="O12" s="0" t="n">
        <v>0</v>
      </c>
      <c r="P12" s="0" t="n">
        <v>0</v>
      </c>
      <c r="R12" s="0" t="n">
        <v>0</v>
      </c>
      <c r="S12" s="0" t="n">
        <v>0</v>
      </c>
    </row>
    <row r="13">
      <c r="A13" s="0" t="inlineStr">
        <is>
          <t>7 支付AP（第44-45列）</t>
        </is>
      </c>
      <c r="B13" s="171">
        <f>ROUND(SUM(工作表1!F44:F45),6)</f>
        <v/>
      </c>
      <c r="C13" s="171">
        <f>ROUND(SUM(工作表1!K44:K45),6)</f>
        <v/>
      </c>
      <c r="D13" s="171">
        <f>ROUND(SUM(工作表1!P44:P45),6)</f>
        <v/>
      </c>
      <c r="E13" s="171">
        <f>ROUND(SUM(工作表1!U44:U45),6)</f>
        <v/>
      </c>
      <c r="I13" s="0" t="n">
        <v>0</v>
      </c>
      <c r="J13" s="0" t="n">
        <v>0</v>
      </c>
      <c r="L13" s="0" t="n">
        <v>0</v>
      </c>
      <c r="M13" s="0" t="n">
        <v>0</v>
      </c>
      <c r="O13" s="0" t="n">
        <v>0</v>
      </c>
      <c r="P13" s="0" t="n">
        <v>0</v>
      </c>
      <c r="R13" s="0" t="n">
        <v>0</v>
      </c>
      <c r="S13" s="0" t="n">
        <v>0</v>
      </c>
    </row>
    <row r="14">
      <c r="A14" s="0" t="inlineStr">
        <is>
          <t>8 收取AR（第47-48列）</t>
        </is>
      </c>
      <c r="B14" s="171">
        <f>ROUND(SUM(工作表1!F47:F48),6)</f>
        <v/>
      </c>
      <c r="C14" s="171">
        <f>ROUND(SUM(工作表1!K47:K48),6)</f>
        <v/>
      </c>
      <c r="D14" s="171">
        <f>ROUND(SUM(工作表1!P47:P48),6)</f>
        <v/>
      </c>
      <c r="E14" s="171">
        <f>ROUND(SUM(工作表1!U47:U48),6)</f>
        <v/>
      </c>
      <c r="I14" s="0" t="n">
        <v>0</v>
      </c>
      <c r="J14" s="0" t="n">
        <v>0</v>
      </c>
      <c r="L14" s="0" t="n">
        <v>0</v>
      </c>
      <c r="M14" s="0" t="n">
        <v>0</v>
      </c>
      <c r="O14" s="0" t="n">
        <v>0</v>
      </c>
      <c r="P14" s="0" t="n">
        <v>0</v>
      </c>
      <c r="R14" s="0" t="n">
        <v>0</v>
      </c>
      <c r="S14" s="0" t="n">
        <v>0</v>
      </c>
    </row>
    <row r="15">
      <c r="A15" s="0" t="inlineStr">
        <is>
          <t>A 結果</t>
        </is>
      </c>
      <c r="B15" s="171">
        <f>IF(SUMPRODUCT(ABS(B3:B14))&lt;0.000001,"OK","不平")</f>
        <v/>
      </c>
      <c r="C15" s="171">
        <f>IF(SUMPRODUCT(ABS(C3:C14))&lt;0.000001,"OK","不平")</f>
        <v/>
      </c>
      <c r="D15" s="171">
        <f>IF(SUMPRODUCT(ABS(D3:D14))&lt;0.000001,"OK","不平")</f>
        <v/>
      </c>
      <c r="E15" s="171">
        <f>IF(SUMPRODUCT(ABS(E3:E14))&lt;0.000001,"OK","不平")</f>
        <v/>
      </c>
      <c r="I15" s="0" t="n">
        <v>0</v>
      </c>
      <c r="J15" s="0" t="n">
        <v>0</v>
      </c>
      <c r="L15" s="0" t="n">
        <v>0</v>
      </c>
      <c r="M15" s="0" t="n">
        <v>0</v>
      </c>
      <c r="O15" s="0" t="n">
        <v>0</v>
      </c>
      <c r="P15" s="0" t="n">
        <v>0</v>
      </c>
      <c r="R15" s="0" t="n">
        <v>0</v>
      </c>
      <c r="S15" s="0" t="n">
        <v>0</v>
      </c>
    </row>
    <row r="16">
      <c r="A16" s="135" t="inlineStr">
        <is>
          <t>B. 期末總結 vs BIM分錄直接加總（只計BIM列；代號首碼1/2=B/S，4/5/6=P/L）</t>
        </is>
      </c>
      <c r="H16" s="0">
        <f>IF(工作表1!D16="","",LEFT(工作表1!D16,1))</f>
        <v/>
      </c>
      <c r="I16" s="0">
        <f>IF(ISNUMBER(工作表1!F16),工作表1!F16,0)</f>
        <v/>
      </c>
      <c r="J16" s="0">
        <f>IF(工作表1!D16="",0,IF(COUNTIF(工作表1!$C$52:$C$71,工作表1!D16)&gt;0,0,1))</f>
        <v/>
      </c>
      <c r="K16" s="0">
        <f>IF(工作表1!I16="","",LEFT(工作表1!I16,1))</f>
        <v/>
      </c>
      <c r="L16" s="0">
        <f>IF(ISNUMBER(工作表1!K16),工作表1!K16,0)</f>
        <v/>
      </c>
      <c r="M16" s="0">
        <f>IF(工作表1!I16="",0,IF(COUNTIF(工作表1!$H$52:$H$71,工作表1!I16)&gt;0,0,1))</f>
        <v/>
      </c>
      <c r="N16" s="0">
        <f>IF(工作表1!N16="","",LEFT(工作表1!N16,1))</f>
        <v/>
      </c>
      <c r="O16" s="0">
        <f>IF(ISNUMBER(工作表1!P16),工作表1!P16,0)</f>
        <v/>
      </c>
      <c r="P16" s="0">
        <f>IF(工作表1!N16="",0,IF(COUNTIF(工作表1!$M$52:$M$71,工作表1!N16)&gt;0,0,1))</f>
        <v/>
      </c>
      <c r="Q16" s="0">
        <f>IF(工作表1!S16="","",LEFT(工作表1!S16,1))</f>
        <v/>
      </c>
      <c r="R16" s="0">
        <f>IF(ISNUMBER(工作表1!U16),工作表1!U16,0)</f>
        <v/>
      </c>
      <c r="S16" s="0">
        <f>IF(工作表1!S16="",0,IF(COUNTIF(工作表1!$R$52:$R$71,工作表1!S16)&gt;0,0,1))</f>
        <v/>
      </c>
    </row>
    <row r="17">
      <c r="A17" s="0" t="inlineStr">
        <is>
          <t>項目</t>
        </is>
      </c>
      <c r="B17" s="135" t="inlineStr">
        <is>
          <t>內案POC</t>
        </is>
      </c>
      <c r="C17" s="135" t="inlineStr">
        <is>
          <t>外案POC</t>
        </is>
      </c>
      <c r="D17" s="135" t="inlineStr">
        <is>
          <t>雜項</t>
        </is>
      </c>
      <c r="E17" s="135" t="inlineStr">
        <is>
          <t>備標</t>
        </is>
      </c>
      <c r="H17" s="0">
        <f>IF(工作表1!D17="","",LEFT(工作表1!D17,1))</f>
        <v/>
      </c>
      <c r="I17" s="0">
        <f>IF(ISNUMBER(工作表1!F17),工作表1!F17,0)</f>
        <v/>
      </c>
      <c r="J17" s="0">
        <f>IF(工作表1!D17="",0,IF(COUNTIF(工作表1!$C$52:$C$71,工作表1!D17)&gt;0,0,1))</f>
        <v/>
      </c>
      <c r="K17" s="0">
        <f>IF(工作表1!I17="","",LEFT(工作表1!I17,1))</f>
        <v/>
      </c>
      <c r="L17" s="0">
        <f>IF(ISNUMBER(工作表1!K17),工作表1!K17,0)</f>
        <v/>
      </c>
      <c r="M17" s="0">
        <f>IF(工作表1!I17="",0,IF(COUNTIF(工作表1!$H$52:$H$71,工作表1!I17)&gt;0,0,1))</f>
        <v/>
      </c>
      <c r="N17" s="0">
        <f>IF(工作表1!N17="","",LEFT(工作表1!N17,1))</f>
        <v/>
      </c>
      <c r="O17" s="0">
        <f>IF(ISNUMBER(工作表1!P17),工作表1!P17,0)</f>
        <v/>
      </c>
      <c r="P17" s="0">
        <f>IF(工作表1!N17="",0,IF(COUNTIF(工作表1!$M$52:$M$71,工作表1!N17)&gt;0,0,1))</f>
        <v/>
      </c>
      <c r="Q17" s="0">
        <f>IF(工作表1!S17="","",LEFT(工作表1!S17,1))</f>
        <v/>
      </c>
      <c r="R17" s="0">
        <f>IF(ISNUMBER(工作表1!U17),工作表1!U17,0)</f>
        <v/>
      </c>
      <c r="S17" s="0">
        <f>IF(工作表1!S17="",0,IF(COUNTIF(工作表1!$R$52:$R$71,工作表1!S17)&gt;0,0,1))</f>
        <v/>
      </c>
    </row>
    <row r="18">
      <c r="A18" s="0" t="inlineStr">
        <is>
          <t>B/S 分錄加總</t>
        </is>
      </c>
      <c r="B18" s="138">
        <f>SUMIF($H$4:$H$47,"1",$I$4:$I$47)+SUMIF($H$4:$H$47,"2",$I$4:$I$47)</f>
        <v/>
      </c>
      <c r="C18" s="138">
        <f>SUMIF($K$4:$K$47,"1",$L$4:$L$47)+SUMIF($K$4:$K$47,"2",$L$4:$L$47)</f>
        <v/>
      </c>
      <c r="D18" s="138">
        <f>SUMIF($N$4:$N$47,"1",$O$4:$O$47)+SUMIF($N$4:$N$47,"2",$O$4:$O$47)</f>
        <v/>
      </c>
      <c r="E18" s="138">
        <f>SUMIF($Q$4:$Q$47,"1",$R$4:$R$47)+SUMIF($Q$4:$Q$47,"2",$R$4:$R$47)</f>
        <v/>
      </c>
      <c r="H18" s="0">
        <f>IF(工作表1!D18="","",LEFT(工作表1!D18,1))</f>
        <v/>
      </c>
      <c r="I18" s="0">
        <f>IF(ISNUMBER(工作表1!F18),工作表1!F18,0)</f>
        <v/>
      </c>
      <c r="J18" s="0">
        <f>IF(工作表1!D18="",0,IF(COUNTIF(工作表1!$C$52:$C$71,工作表1!D18)&gt;0,0,1))</f>
        <v/>
      </c>
      <c r="K18" s="0">
        <f>IF(工作表1!I18="","",LEFT(工作表1!I18,1))</f>
        <v/>
      </c>
      <c r="L18" s="0">
        <f>IF(ISNUMBER(工作表1!K18),工作表1!K18,0)</f>
        <v/>
      </c>
      <c r="M18" s="0">
        <f>IF(工作表1!I18="",0,IF(COUNTIF(工作表1!$H$52:$H$71,工作表1!I18)&gt;0,0,1))</f>
        <v/>
      </c>
      <c r="N18" s="0">
        <f>IF(工作表1!N18="","",LEFT(工作表1!N18,1))</f>
        <v/>
      </c>
      <c r="O18" s="0">
        <f>IF(ISNUMBER(工作表1!P18),工作表1!P18,0)</f>
        <v/>
      </c>
      <c r="P18" s="0">
        <f>IF(工作表1!N18="",0,IF(COUNTIF(工作表1!$M$52:$M$71,工作表1!N18)&gt;0,0,1))</f>
        <v/>
      </c>
      <c r="Q18" s="0">
        <f>IF(工作表1!S18="","",LEFT(工作表1!S18,1))</f>
        <v/>
      </c>
      <c r="R18" s="0">
        <f>IF(ISNUMBER(工作表1!U18),工作表1!U18,0)</f>
        <v/>
      </c>
      <c r="S18" s="0">
        <f>IF(工作表1!S18="",0,IF(COUNTIF(工作表1!$R$52:$R$71,工作表1!S18)&gt;0,0,1))</f>
        <v/>
      </c>
    </row>
    <row r="19">
      <c r="A19" s="0" t="inlineStr">
        <is>
          <t>B/S 期末總結(總計欄52+55:60)</t>
        </is>
      </c>
      <c r="B19" s="138">
        <f>工作表1!F52+SUM(工作表1!F55:F60)</f>
        <v/>
      </c>
      <c r="C19" s="138">
        <f>工作表1!K52+SUM(工作表1!K55:K60)</f>
        <v/>
      </c>
      <c r="D19" s="138">
        <f>工作表1!P52+SUM(工作表1!P55:P60)</f>
        <v/>
      </c>
      <c r="E19" s="138">
        <f>工作表1!U52+SUM(工作表1!U55:U60)</f>
        <v/>
      </c>
      <c r="H19" s="0">
        <f>IF(工作表1!D19="","",LEFT(工作表1!D19,1))</f>
        <v/>
      </c>
      <c r="I19" s="0">
        <f>IF(ISNUMBER(工作表1!F19),工作表1!F19,0)</f>
        <v/>
      </c>
      <c r="J19" s="0">
        <f>IF(工作表1!D19="",0,IF(COUNTIF(工作表1!$C$52:$C$71,工作表1!D19)&gt;0,0,1))</f>
        <v/>
      </c>
      <c r="K19" s="0">
        <f>IF(工作表1!I19="","",LEFT(工作表1!I19,1))</f>
        <v/>
      </c>
      <c r="L19" s="0">
        <f>IF(ISNUMBER(工作表1!K19),工作表1!K19,0)</f>
        <v/>
      </c>
      <c r="M19" s="0">
        <f>IF(工作表1!I19="",0,IF(COUNTIF(工作表1!$H$52:$H$71,工作表1!I19)&gt;0,0,1))</f>
        <v/>
      </c>
      <c r="N19" s="0">
        <f>IF(工作表1!N19="","",LEFT(工作表1!N19,1))</f>
        <v/>
      </c>
      <c r="O19" s="0">
        <f>IF(ISNUMBER(工作表1!P19),工作表1!P19,0)</f>
        <v/>
      </c>
      <c r="P19" s="0">
        <f>IF(工作表1!N19="",0,IF(COUNTIF(工作表1!$M$52:$M$71,工作表1!N19)&gt;0,0,1))</f>
        <v/>
      </c>
      <c r="Q19" s="0">
        <f>IF(工作表1!S19="","",LEFT(工作表1!S19,1))</f>
        <v/>
      </c>
      <c r="R19" s="0">
        <f>IF(ISNUMBER(工作表1!U19),工作表1!U19,0)</f>
        <v/>
      </c>
      <c r="S19" s="0">
        <f>IF(工作表1!S19="",0,IF(COUNTIF(工作表1!$R$52:$R$71,工作表1!S19)&gt;0,0,1))</f>
        <v/>
      </c>
    </row>
    <row r="20">
      <c r="A20" s="0" t="inlineStr">
        <is>
          <t>P/L 分錄加總</t>
        </is>
      </c>
      <c r="B20" s="138">
        <f>SUMIF($H$4:$H$47,"4",$I$4:$I$47)+SUMIF($H$4:$H$47,"5",$I$4:$I$47)+SUMIF($H$4:$H$47,"6",$I$4:$I$47)</f>
        <v/>
      </c>
      <c r="C20" s="138">
        <f>SUMIF($K$4:$K$47,"4",$L$4:$L$47)+SUMIF($K$4:$K$47,"5",$L$4:$L$47)+SUMIF($K$4:$K$47,"6",$L$4:$L$47)</f>
        <v/>
      </c>
      <c r="D20" s="138">
        <f>SUMIF($N$4:$N$47,"4",$O$4:$O$47)+SUMIF($N$4:$N$47,"5",$O$4:$O$47)+SUMIF($N$4:$N$47,"6",$O$4:$O$47)</f>
        <v/>
      </c>
      <c r="E20" s="138">
        <f>SUMIF($Q$4:$Q$47,"4",$R$4:$R$47)+SUMIF($Q$4:$Q$47,"5",$R$4:$R$47)+SUMIF($Q$4:$Q$47,"6",$R$4:$R$47)</f>
        <v/>
      </c>
      <c r="H20" s="0">
        <f>IF(工作表1!D20="","",LEFT(工作表1!D20,1))</f>
        <v/>
      </c>
      <c r="I20" s="0">
        <f>IF(ISNUMBER(工作表1!F20),工作表1!F20,0)</f>
        <v/>
      </c>
      <c r="J20" s="0">
        <f>IF(工作表1!D20="",0,IF(COUNTIF(工作表1!$C$52:$C$71,工作表1!D20)&gt;0,0,1))</f>
        <v/>
      </c>
      <c r="K20" s="0">
        <f>IF(工作表1!I20="","",LEFT(工作表1!I20,1))</f>
        <v/>
      </c>
      <c r="L20" s="0">
        <f>IF(ISNUMBER(工作表1!K20),工作表1!K20,0)</f>
        <v/>
      </c>
      <c r="M20" s="0">
        <f>IF(工作表1!I20="",0,IF(COUNTIF(工作表1!$H$52:$H$71,工作表1!I20)&gt;0,0,1))</f>
        <v/>
      </c>
      <c r="N20" s="0">
        <f>IF(工作表1!N20="","",LEFT(工作表1!N20,1))</f>
        <v/>
      </c>
      <c r="O20" s="0">
        <f>IF(ISNUMBER(工作表1!P20),工作表1!P20,0)</f>
        <v/>
      </c>
      <c r="P20" s="0">
        <f>IF(工作表1!N20="",0,IF(COUNTIF(工作表1!$M$52:$M$71,工作表1!N20)&gt;0,0,1))</f>
        <v/>
      </c>
      <c r="Q20" s="0">
        <f>IF(工作表1!S20="","",LEFT(工作表1!S20,1))</f>
        <v/>
      </c>
      <c r="R20" s="0">
        <f>IF(ISNUMBER(工作表1!U20),工作表1!U20,0)</f>
        <v/>
      </c>
      <c r="S20" s="0">
        <f>IF(工作表1!S20="",0,IF(COUNTIF(工作表1!$R$52:$R$71,工作表1!S20)&gt;0,0,1))</f>
        <v/>
      </c>
    </row>
    <row r="21">
      <c r="A21" s="0" t="inlineStr">
        <is>
          <t>P/L 期末總結(總計欄61)</t>
        </is>
      </c>
      <c r="B21" s="138">
        <f>工作表1!F61</f>
        <v/>
      </c>
      <c r="C21" s="138">
        <f>工作表1!K61</f>
        <v/>
      </c>
      <c r="D21" s="138">
        <f>工作表1!P61</f>
        <v/>
      </c>
      <c r="E21" s="138">
        <f>工作表1!U61</f>
        <v/>
      </c>
      <c r="H21" s="0">
        <f>IF(工作表1!D21="","",LEFT(工作表1!D21,1))</f>
        <v/>
      </c>
      <c r="I21" s="0">
        <f>IF(ISNUMBER(工作表1!F21),工作表1!F21,0)</f>
        <v/>
      </c>
      <c r="J21" s="0">
        <f>IF(工作表1!D21="",0,IF(COUNTIF(工作表1!$C$52:$C$71,工作表1!D21)&gt;0,0,1))</f>
        <v/>
      </c>
      <c r="K21" s="0">
        <f>IF(工作表1!I21="","",LEFT(工作表1!I21,1))</f>
        <v/>
      </c>
      <c r="L21" s="0">
        <f>IF(ISNUMBER(工作表1!K21),工作表1!K21,0)</f>
        <v/>
      </c>
      <c r="M21" s="0">
        <f>IF(工作表1!I21="",0,IF(COUNTIF(工作表1!$H$52:$H$71,工作表1!I21)&gt;0,0,1))</f>
        <v/>
      </c>
      <c r="N21" s="0">
        <f>IF(工作表1!N21="","",LEFT(工作表1!N21,1))</f>
        <v/>
      </c>
      <c r="O21" s="0">
        <f>IF(ISNUMBER(工作表1!P21),工作表1!P21,0)</f>
        <v/>
      </c>
      <c r="P21" s="0">
        <f>IF(工作表1!N21="",0,IF(COUNTIF(工作表1!$M$52:$M$71,工作表1!N21)&gt;0,0,1))</f>
        <v/>
      </c>
      <c r="Q21" s="0">
        <f>IF(工作表1!S21="","",LEFT(工作表1!S21,1))</f>
        <v/>
      </c>
      <c r="R21" s="0">
        <f>IF(ISNUMBER(工作表1!U21),工作表1!U21,0)</f>
        <v/>
      </c>
      <c r="S21" s="0">
        <f>IF(工作表1!S21="",0,IF(COUNTIF(工作表1!$R$52:$R$71,工作表1!S21)&gt;0,0,1))</f>
        <v/>
      </c>
    </row>
    <row r="22">
      <c r="A22" s="0" t="inlineStr">
        <is>
          <t>B/S 差異</t>
        </is>
      </c>
      <c r="B22" s="138">
        <f>B19-B18</f>
        <v/>
      </c>
      <c r="C22" s="138">
        <f>C19-C18</f>
        <v/>
      </c>
      <c r="D22" s="138">
        <f>D19-D18</f>
        <v/>
      </c>
      <c r="E22" s="138">
        <f>E19-E18</f>
        <v/>
      </c>
      <c r="H22" s="0">
        <f>IF(工作表1!D22="","",LEFT(工作表1!D22,1))</f>
        <v/>
      </c>
      <c r="I22" s="0">
        <f>IF(ISNUMBER(工作表1!F22),工作表1!F22,0)</f>
        <v/>
      </c>
      <c r="J22" s="0">
        <f>IF(工作表1!D22="",0,IF(COUNTIF(工作表1!$C$52:$C$71,工作表1!D22)&gt;0,0,1))</f>
        <v/>
      </c>
      <c r="K22" s="0">
        <f>IF(工作表1!I22="","",LEFT(工作表1!I22,1))</f>
        <v/>
      </c>
      <c r="L22" s="0">
        <f>IF(ISNUMBER(工作表1!K22),工作表1!K22,0)</f>
        <v/>
      </c>
      <c r="M22" s="0">
        <f>IF(工作表1!I22="",0,IF(COUNTIF(工作表1!$H$52:$H$71,工作表1!I22)&gt;0,0,1))</f>
        <v/>
      </c>
      <c r="N22" s="0">
        <f>IF(工作表1!N22="","",LEFT(工作表1!N22,1))</f>
        <v/>
      </c>
      <c r="O22" s="0">
        <f>IF(ISNUMBER(工作表1!P22),工作表1!P22,0)</f>
        <v/>
      </c>
      <c r="P22" s="0">
        <f>IF(工作表1!N22="",0,IF(COUNTIF(工作表1!$M$52:$M$71,工作表1!N22)&gt;0,0,1))</f>
        <v/>
      </c>
      <c r="Q22" s="0">
        <f>IF(工作表1!S22="","",LEFT(工作表1!S22,1))</f>
        <v/>
      </c>
      <c r="R22" s="0">
        <f>IF(ISNUMBER(工作表1!U22),工作表1!U22,0)</f>
        <v/>
      </c>
      <c r="S22" s="0">
        <f>IF(工作表1!S22="",0,IF(COUNTIF(工作表1!$R$52:$R$71,工作表1!S22)&gt;0,0,1))</f>
        <v/>
      </c>
    </row>
    <row r="23">
      <c r="A23" s="0" t="inlineStr">
        <is>
          <t>P/L 差異</t>
        </is>
      </c>
      <c r="B23" s="138">
        <f>B21-B20</f>
        <v/>
      </c>
      <c r="C23" s="138">
        <f>C21-C20</f>
        <v/>
      </c>
      <c r="D23" s="138">
        <f>D21-D20</f>
        <v/>
      </c>
      <c r="E23" s="138">
        <f>E21-E20</f>
        <v/>
      </c>
      <c r="I23" s="0" t="n">
        <v>0</v>
      </c>
      <c r="J23" s="0" t="n">
        <v>0</v>
      </c>
      <c r="L23" s="0" t="n">
        <v>0</v>
      </c>
      <c r="M23" s="0" t="n">
        <v>0</v>
      </c>
      <c r="O23" s="0" t="n">
        <v>0</v>
      </c>
      <c r="P23" s="0" t="n">
        <v>0</v>
      </c>
      <c r="R23" s="0" t="n">
        <v>0</v>
      </c>
      <c r="S23" s="0" t="n">
        <v>0</v>
      </c>
    </row>
    <row r="24">
      <c r="A24" s="0" t="inlineStr">
        <is>
          <t>B/S+P/L(應為0)</t>
        </is>
      </c>
      <c r="B24" s="138">
        <f>B19+B21</f>
        <v/>
      </c>
      <c r="C24" s="138">
        <f>C19+C21</f>
        <v/>
      </c>
      <c r="D24" s="138">
        <f>D19+D21</f>
        <v/>
      </c>
      <c r="E24" s="138">
        <f>E19+E21</f>
        <v/>
      </c>
      <c r="I24" s="0" t="n">
        <v>0</v>
      </c>
      <c r="J24" s="0" t="n">
        <v>0</v>
      </c>
      <c r="L24" s="0" t="n">
        <v>0</v>
      </c>
      <c r="M24" s="0" t="n">
        <v>0</v>
      </c>
      <c r="O24" s="0" t="n">
        <v>0</v>
      </c>
      <c r="P24" s="0" t="n">
        <v>0</v>
      </c>
      <c r="R24" s="0" t="n">
        <v>0</v>
      </c>
      <c r="S24" s="0" t="n">
        <v>0</v>
      </c>
    </row>
    <row r="25">
      <c r="A25" s="0" t="inlineStr">
        <is>
          <t>B 結果</t>
        </is>
      </c>
      <c r="B25" s="137">
        <f>IF(AND(ABS(B22)&lt;0.000001,ABS(B23)&lt;0.000001,ABS(B24)&lt;0.000001),"OK","不符")</f>
        <v/>
      </c>
      <c r="C25" s="137">
        <f>IF(AND(ABS(C22)&lt;0.000001,ABS(C23)&lt;0.000001,ABS(C24)&lt;0.000001),"OK","不符")</f>
        <v/>
      </c>
      <c r="D25" s="137">
        <f>IF(AND(ABS(D22)&lt;0.000001,ABS(D23)&lt;0.000001,ABS(D24)&lt;0.000001),"OK","不符")</f>
        <v/>
      </c>
      <c r="E25" s="137">
        <f>IF(AND(ABS(E22)&lt;0.000001,ABS(E23)&lt;0.000001,ABS(E24)&lt;0.000001),"OK","不符")</f>
        <v/>
      </c>
      <c r="I25" s="0" t="n">
        <v>0</v>
      </c>
      <c r="J25" s="0" t="n">
        <v>0</v>
      </c>
      <c r="L25" s="0" t="n">
        <v>0</v>
      </c>
      <c r="M25" s="0" t="n">
        <v>0</v>
      </c>
      <c r="O25" s="0" t="n">
        <v>0</v>
      </c>
      <c r="P25" s="0" t="n">
        <v>0</v>
      </c>
      <c r="R25" s="0" t="n">
        <v>0</v>
      </c>
      <c r="S25" s="0" t="n">
        <v>0</v>
      </c>
    </row>
    <row r="26">
      <c r="A26" s="0" t="inlineStr">
        <is>
          <t>C. BIM分錄科目未列入期末總結的行數</t>
        </is>
      </c>
      <c r="B26" s="0">
        <f>SUM($J$4:$J$47)</f>
        <v/>
      </c>
      <c r="C26" s="0">
        <f>SUM($M$4:$M$47)</f>
        <v/>
      </c>
      <c r="D26" s="0">
        <f>SUM($P$4:$P$47)</f>
        <v/>
      </c>
      <c r="E26" s="0">
        <f>SUM($S$4:$S$47)</f>
        <v/>
      </c>
      <c r="I26" s="0" t="n">
        <v>0</v>
      </c>
      <c r="J26" s="0" t="n">
        <v>0</v>
      </c>
      <c r="L26" s="0" t="n">
        <v>0</v>
      </c>
      <c r="M26" s="0" t="n">
        <v>0</v>
      </c>
      <c r="O26" s="0" t="n">
        <v>0</v>
      </c>
      <c r="P26" s="0" t="n">
        <v>0</v>
      </c>
      <c r="R26" s="0" t="n">
        <v>0</v>
      </c>
      <c r="S26" s="0" t="n">
        <v>0</v>
      </c>
    </row>
    <row r="27">
      <c r="A27" s="0" t="inlineStr">
        <is>
          <t>C 結果</t>
        </is>
      </c>
      <c r="B27" s="137">
        <f>IF(B26=0,"OK","有漏列")</f>
        <v/>
      </c>
      <c r="C27" s="137">
        <f>IF(C26=0,"OK","有漏列")</f>
        <v/>
      </c>
      <c r="D27" s="137">
        <f>IF(D26=0,"OK","有漏列")</f>
        <v/>
      </c>
      <c r="E27" s="137">
        <f>IF(E26=0,"OK","有漏列")</f>
        <v/>
      </c>
      <c r="I27" s="0" t="n">
        <v>0</v>
      </c>
      <c r="J27" s="0" t="n">
        <v>0</v>
      </c>
      <c r="L27" s="0" t="n">
        <v>0</v>
      </c>
      <c r="M27" s="0" t="n">
        <v>0</v>
      </c>
      <c r="O27" s="0" t="n">
        <v>0</v>
      </c>
      <c r="P27" s="0" t="n">
        <v>0</v>
      </c>
      <c r="R27" s="0" t="n">
        <v>0</v>
      </c>
      <c r="S27" s="0" t="n">
        <v>0</v>
      </c>
    </row>
    <row r="28">
      <c r="I28" s="0" t="n">
        <v>0</v>
      </c>
      <c r="J28" s="0" t="n">
        <v>0</v>
      </c>
      <c r="L28" s="0" t="n">
        <v>0</v>
      </c>
      <c r="M28" s="0" t="n">
        <v>0</v>
      </c>
      <c r="O28" s="0" t="n">
        <v>0</v>
      </c>
      <c r="P28" s="0" t="n">
        <v>0</v>
      </c>
      <c r="R28" s="0" t="n">
        <v>0</v>
      </c>
      <c r="S28" s="0" t="n">
        <v>0</v>
      </c>
    </row>
    <row r="29">
      <c r="H29">
        <f>IF(工作表1!D29="","",LEFT(工作表1!D29,1))</f>
        <v/>
      </c>
      <c r="I29" s="0">
        <f>IF(ISNUMBER(工作表1!F29),工作表1!F29,0)</f>
        <v/>
      </c>
      <c r="J29" s="0">
        <f>IF(工作表1!D29="",0,IF(COUNTIF(工作表1!$C$52:$C$71,工作表1!D29)&gt;0,0,1))</f>
        <v/>
      </c>
      <c r="K29">
        <f>IF(工作表1!I29="","",LEFT(工作表1!I29,1))</f>
        <v/>
      </c>
      <c r="L29" s="0">
        <f>IF(ISNUMBER(工作表1!K29),工作表1!K29,0)</f>
        <v/>
      </c>
      <c r="M29" s="0">
        <f>IF(工作表1!I29="",0,IF(COUNTIF(工作表1!$H$52:$H$71,工作表1!I29)&gt;0,0,1))</f>
        <v/>
      </c>
      <c r="N29">
        <f>IF(工作表1!N29="","",LEFT(工作表1!N29,1))</f>
        <v/>
      </c>
      <c r="O29" s="0">
        <f>IF(ISNUMBER(工作表1!P29),工作表1!P29,0)</f>
        <v/>
      </c>
      <c r="P29" s="0">
        <f>IF(工作表1!N29="",0,IF(COUNTIF(工作表1!$M$52:$M$71,工作表1!N29)&gt;0,0,1))</f>
        <v/>
      </c>
      <c r="Q29">
        <f>IF(工作表1!S29="","",LEFT(工作表1!S29,1))</f>
        <v/>
      </c>
      <c r="R29" s="0">
        <f>IF(ISNUMBER(工作表1!U29),工作表1!U29,0)</f>
        <v/>
      </c>
      <c r="S29" s="0">
        <f>IF(工作表1!S29="",0,IF(COUNTIF(工作表1!$R$52:$R$71,工作表1!S29)&gt;0,0,1))</f>
        <v/>
      </c>
    </row>
    <row r="30">
      <c r="H30">
        <f>IF(工作表1!D30="","",LEFT(工作表1!D30,1))</f>
        <v/>
      </c>
      <c r="I30" s="0">
        <f>IF(ISNUMBER(工作表1!F30),工作表1!F30,0)</f>
        <v/>
      </c>
      <c r="J30" s="0">
        <f>IF(工作表1!D30="",0,IF(COUNTIF(工作表1!$C$52:$C$71,工作表1!D30)&gt;0,0,1))</f>
        <v/>
      </c>
      <c r="K30">
        <f>IF(工作表1!I30="","",LEFT(工作表1!I30,1))</f>
        <v/>
      </c>
      <c r="L30" s="0">
        <f>IF(ISNUMBER(工作表1!K30),工作表1!K30,0)</f>
        <v/>
      </c>
      <c r="M30" s="0">
        <f>IF(工作表1!I30="",0,IF(COUNTIF(工作表1!$H$52:$H$71,工作表1!I30)&gt;0,0,1))</f>
        <v/>
      </c>
      <c r="N30">
        <f>IF(工作表1!N30="","",LEFT(工作表1!N30,1))</f>
        <v/>
      </c>
      <c r="O30" s="0">
        <f>IF(ISNUMBER(工作表1!P30),工作表1!P30,0)</f>
        <v/>
      </c>
      <c r="P30" s="0">
        <f>IF(工作表1!N30="",0,IF(COUNTIF(工作表1!$M$52:$M$71,工作表1!N30)&gt;0,0,1))</f>
        <v/>
      </c>
      <c r="Q30">
        <f>IF(工作表1!S30="","",LEFT(工作表1!S30,1))</f>
        <v/>
      </c>
      <c r="R30" s="0">
        <f>IF(ISNUMBER(工作表1!U30),工作表1!U30,0)</f>
        <v/>
      </c>
      <c r="S30" s="0">
        <f>IF(工作表1!S30="",0,IF(COUNTIF(工作表1!$R$52:$R$71,工作表1!S30)&gt;0,0,1))</f>
        <v/>
      </c>
    </row>
    <row r="31">
      <c r="H31" s="0">
        <f>IF(工作表1!D33="","",LEFT(工作表1!D33,1))</f>
        <v/>
      </c>
      <c r="I31" s="0">
        <f>IF(ISNUMBER(工作表1!F33),工作表1!F33,0)</f>
        <v/>
      </c>
      <c r="J31" s="0">
        <f>IF(工作表1!D33="",0,IF(COUNTIF(工作表1!$C$52:$C$71,工作表1!D33)&gt;0,0,1))</f>
        <v/>
      </c>
      <c r="K31" s="0">
        <f>IF(工作表1!I33="","",LEFT(工作表1!I33,1))</f>
        <v/>
      </c>
      <c r="L31" s="0">
        <f>IF(ISNUMBER(工作表1!K33),工作表1!K33,0)</f>
        <v/>
      </c>
      <c r="M31" s="0">
        <f>IF(工作表1!I33="",0,IF(COUNTIF(工作表1!$H$52:$H$71,工作表1!I33)&gt;0,0,1))</f>
        <v/>
      </c>
      <c r="N31" s="0">
        <f>IF(工作表1!N33="","",LEFT(工作表1!N33,1))</f>
        <v/>
      </c>
      <c r="O31" s="0">
        <f>IF(ISNUMBER(工作表1!P33),工作表1!P33,0)</f>
        <v/>
      </c>
      <c r="P31" s="0">
        <f>IF(工作表1!N33="",0,IF(COUNTIF(工作表1!$M$52:$M$71,工作表1!N33)&gt;0,0,1))</f>
        <v/>
      </c>
      <c r="Q31" s="0">
        <f>IF(工作表1!S33="","",LEFT(工作表1!S33,1))</f>
        <v/>
      </c>
      <c r="R31" s="0">
        <f>IF(ISNUMBER(工作表1!U33),工作表1!U33,0)</f>
        <v/>
      </c>
      <c r="S31" s="0">
        <f>IF(工作表1!S33="",0,IF(COUNTIF(工作表1!$R$52:$R$71,工作表1!S33)&gt;0,0,1))</f>
        <v/>
      </c>
    </row>
    <row r="32">
      <c r="H32" s="0">
        <f>IF(工作表1!D34="","",LEFT(工作表1!D34,1))</f>
        <v/>
      </c>
      <c r="I32" s="0">
        <f>IF(ISNUMBER(工作表1!F34),工作表1!F34,0)</f>
        <v/>
      </c>
      <c r="J32" s="0">
        <f>IF(工作表1!D34="",0,IF(COUNTIF(工作表1!$C$52:$C$71,工作表1!D34)&gt;0,0,1))</f>
        <v/>
      </c>
      <c r="K32" s="0">
        <f>IF(工作表1!I34="","",LEFT(工作表1!I34,1))</f>
        <v/>
      </c>
      <c r="L32" s="0">
        <f>IF(ISNUMBER(工作表1!K34),工作表1!K34,0)</f>
        <v/>
      </c>
      <c r="M32" s="0">
        <f>IF(工作表1!I34="",0,IF(COUNTIF(工作表1!$H$52:$H$71,工作表1!I34)&gt;0,0,1))</f>
        <v/>
      </c>
      <c r="N32" s="0">
        <f>IF(工作表1!N34="","",LEFT(工作表1!N34,1))</f>
        <v/>
      </c>
      <c r="O32" s="0">
        <f>IF(ISNUMBER(工作表1!P34),工作表1!P34,0)</f>
        <v/>
      </c>
      <c r="P32" s="0">
        <f>IF(工作表1!N34="",0,IF(COUNTIF(工作表1!$M$52:$M$71,工作表1!N34)&gt;0,0,1))</f>
        <v/>
      </c>
      <c r="Q32" s="0">
        <f>IF(工作表1!S34="","",LEFT(工作表1!S34,1))</f>
        <v/>
      </c>
      <c r="R32" s="0">
        <f>IF(ISNUMBER(工作表1!U34),工作表1!U34,0)</f>
        <v/>
      </c>
      <c r="S32" s="0">
        <f>IF(工作表1!S34="",0,IF(COUNTIF(工作表1!$R$52:$R$71,工作表1!S34)&gt;0,0,1))</f>
        <v/>
      </c>
    </row>
    <row r="33">
      <c r="H33" s="0">
        <f>IF(工作表1!D35="","",LEFT(工作表1!D35,1))</f>
        <v/>
      </c>
      <c r="I33" s="0">
        <f>IF(ISNUMBER(工作表1!F35),工作表1!F35,0)</f>
        <v/>
      </c>
      <c r="J33" s="0">
        <f>IF(工作表1!D35="",0,IF(COUNTIF(工作表1!$C$52:$C$71,工作表1!D35)&gt;0,0,1))</f>
        <v/>
      </c>
      <c r="K33" s="0">
        <f>IF(工作表1!I35="","",LEFT(工作表1!I35,1))</f>
        <v/>
      </c>
      <c r="L33" s="0">
        <f>IF(ISNUMBER(工作表1!K35),工作表1!K35,0)</f>
        <v/>
      </c>
      <c r="M33" s="0">
        <f>IF(工作表1!I35="",0,IF(COUNTIF(工作表1!$H$52:$H$71,工作表1!I35)&gt;0,0,1))</f>
        <v/>
      </c>
      <c r="N33" s="0">
        <f>IF(工作表1!N35="","",LEFT(工作表1!N35,1))</f>
        <v/>
      </c>
      <c r="O33" s="0">
        <f>IF(ISNUMBER(工作表1!P35),工作表1!P35,0)</f>
        <v/>
      </c>
      <c r="P33" s="0">
        <f>IF(工作表1!N35="",0,IF(COUNTIF(工作表1!$M$52:$M$71,工作表1!N35)&gt;0,0,1))</f>
        <v/>
      </c>
      <c r="Q33" s="0">
        <f>IF(工作表1!S35="","",LEFT(工作表1!S35,1))</f>
        <v/>
      </c>
      <c r="R33" s="0">
        <f>IF(ISNUMBER(工作表1!U35),工作表1!U35,0)</f>
        <v/>
      </c>
      <c r="S33" s="0">
        <f>IF(工作表1!S35="",0,IF(COUNTIF(工作表1!$R$52:$R$71,工作表1!S35)&gt;0,0,1))</f>
        <v/>
      </c>
    </row>
    <row r="34">
      <c r="I34" s="0" t="n">
        <v>0</v>
      </c>
      <c r="J34" s="0" t="n">
        <v>0</v>
      </c>
      <c r="L34" s="0" t="n">
        <v>0</v>
      </c>
      <c r="M34" s="0" t="n">
        <v>0</v>
      </c>
      <c r="O34" s="0" t="n">
        <v>0</v>
      </c>
      <c r="P34" s="0" t="n">
        <v>0</v>
      </c>
      <c r="R34" s="0" t="n">
        <v>0</v>
      </c>
      <c r="S34" s="0" t="n">
        <v>0</v>
      </c>
    </row>
    <row r="35">
      <c r="I35" s="0" t="n">
        <v>0</v>
      </c>
      <c r="J35" s="0" t="n">
        <v>0</v>
      </c>
      <c r="L35" s="0" t="n">
        <v>0</v>
      </c>
      <c r="M35" s="0" t="n">
        <v>0</v>
      </c>
      <c r="O35" s="0" t="n">
        <v>0</v>
      </c>
      <c r="P35" s="0" t="n">
        <v>0</v>
      </c>
      <c r="R35" s="0" t="n">
        <v>0</v>
      </c>
      <c r="S35" s="0" t="n">
        <v>0</v>
      </c>
    </row>
    <row r="36">
      <c r="I36" s="0" t="n">
        <v>0</v>
      </c>
      <c r="J36" s="0" t="n">
        <v>0</v>
      </c>
      <c r="L36" s="0" t="n">
        <v>0</v>
      </c>
      <c r="M36" s="0" t="n">
        <v>0</v>
      </c>
      <c r="O36" s="0" t="n">
        <v>0</v>
      </c>
      <c r="P36" s="0" t="n">
        <v>0</v>
      </c>
      <c r="R36" s="0" t="n">
        <v>0</v>
      </c>
      <c r="S36" s="0" t="n">
        <v>0</v>
      </c>
    </row>
    <row r="37">
      <c r="I37" s="0" t="n">
        <v>0</v>
      </c>
      <c r="J37" s="0" t="n">
        <v>0</v>
      </c>
      <c r="L37" s="0" t="n">
        <v>0</v>
      </c>
      <c r="M37" s="0" t="n">
        <v>0</v>
      </c>
      <c r="O37" s="0" t="n">
        <v>0</v>
      </c>
      <c r="P37" s="0" t="n">
        <v>0</v>
      </c>
      <c r="R37" s="0" t="n">
        <v>0</v>
      </c>
      <c r="S37" s="0" t="n">
        <v>0</v>
      </c>
    </row>
    <row r="38">
      <c r="I38" s="0" t="n">
        <v>0</v>
      </c>
      <c r="J38" s="0" t="n">
        <v>0</v>
      </c>
      <c r="L38" s="0" t="n">
        <v>0</v>
      </c>
      <c r="M38" s="0" t="n">
        <v>0</v>
      </c>
      <c r="O38" s="0" t="n">
        <v>0</v>
      </c>
      <c r="P38" s="0" t="n">
        <v>0</v>
      </c>
      <c r="R38" s="0" t="n">
        <v>0</v>
      </c>
      <c r="S38" s="0" t="n">
        <v>0</v>
      </c>
    </row>
    <row r="39">
      <c r="I39" s="0" t="n">
        <v>0</v>
      </c>
      <c r="J39" s="0" t="n">
        <v>0</v>
      </c>
      <c r="L39" s="0" t="n">
        <v>0</v>
      </c>
      <c r="M39" s="0" t="n">
        <v>0</v>
      </c>
      <c r="O39" s="0" t="n">
        <v>0</v>
      </c>
      <c r="P39" s="0" t="n">
        <v>0</v>
      </c>
      <c r="R39" s="0" t="n">
        <v>0</v>
      </c>
      <c r="S39" s="0" t="n">
        <v>0</v>
      </c>
    </row>
    <row r="40">
      <c r="I40" s="0" t="n">
        <v>0</v>
      </c>
      <c r="J40" s="0" t="n">
        <v>0</v>
      </c>
      <c r="L40" s="0" t="n">
        <v>0</v>
      </c>
      <c r="M40" s="0" t="n">
        <v>0</v>
      </c>
      <c r="O40" s="0" t="n">
        <v>0</v>
      </c>
      <c r="P40" s="0" t="n">
        <v>0</v>
      </c>
      <c r="R40" s="0" t="n">
        <v>0</v>
      </c>
      <c r="S40" s="0" t="n">
        <v>0</v>
      </c>
    </row>
    <row r="41">
      <c r="I41" s="0" t="n">
        <v>0</v>
      </c>
      <c r="J41" s="0" t="n">
        <v>0</v>
      </c>
      <c r="L41" s="0" t="n">
        <v>0</v>
      </c>
      <c r="M41" s="0" t="n">
        <v>0</v>
      </c>
      <c r="O41" s="0" t="n">
        <v>0</v>
      </c>
      <c r="P41" s="0" t="n">
        <v>0</v>
      </c>
      <c r="R41" s="0" t="n">
        <v>0</v>
      </c>
      <c r="S41" s="0" t="n">
        <v>0</v>
      </c>
    </row>
    <row r="42">
      <c r="H42" s="0">
        <f>IF(工作表1!D44="","",LEFT(工作表1!D44,1))</f>
        <v/>
      </c>
      <c r="I42" s="0">
        <f>IF(ISNUMBER(工作表1!F44),工作表1!F44,0)</f>
        <v/>
      </c>
      <c r="J42" s="0">
        <f>IF(工作表1!D44="",0,IF(COUNTIF(工作表1!$C$52:$C$71,工作表1!D44)&gt;0,0,1))</f>
        <v/>
      </c>
      <c r="K42" s="0">
        <f>IF(工作表1!I44="","",LEFT(工作表1!I44,1))</f>
        <v/>
      </c>
      <c r="L42" s="0">
        <f>IF(ISNUMBER(工作表1!K44),工作表1!K44,0)</f>
        <v/>
      </c>
      <c r="M42" s="0">
        <f>IF(工作表1!I44="",0,IF(COUNTIF(工作表1!$H$52:$H$71,工作表1!I44)&gt;0,0,1))</f>
        <v/>
      </c>
      <c r="N42" s="0">
        <f>IF(工作表1!N44="","",LEFT(工作表1!N44,1))</f>
        <v/>
      </c>
      <c r="O42" s="0">
        <f>IF(ISNUMBER(工作表1!P44),工作表1!P44,0)</f>
        <v/>
      </c>
      <c r="P42" s="0">
        <f>IF(工作表1!N44="",0,IF(COUNTIF(工作表1!$M$52:$M$71,工作表1!N44)&gt;0,0,1))</f>
        <v/>
      </c>
      <c r="Q42" s="0">
        <f>IF(工作表1!S44="","",LEFT(工作表1!S44,1))</f>
        <v/>
      </c>
      <c r="R42" s="0">
        <f>IF(ISNUMBER(工作表1!U44),工作表1!U44,0)</f>
        <v/>
      </c>
      <c r="S42" s="0">
        <f>IF(工作表1!S44="",0,IF(COUNTIF(工作表1!$R$52:$R$71,工作表1!S44)&gt;0,0,1))</f>
        <v/>
      </c>
    </row>
    <row r="43">
      <c r="H43" s="0">
        <f>IF(工作表1!D45="","",LEFT(工作表1!D45,1))</f>
        <v/>
      </c>
      <c r="I43" s="0">
        <f>IF(ISNUMBER(工作表1!F45),工作表1!F45,0)</f>
        <v/>
      </c>
      <c r="J43" s="0">
        <f>IF(工作表1!D45="",0,IF(COUNTIF(工作表1!$C$52:$C$71,工作表1!D45)&gt;0,0,1))</f>
        <v/>
      </c>
      <c r="K43" s="0">
        <f>IF(工作表1!I45="","",LEFT(工作表1!I45,1))</f>
        <v/>
      </c>
      <c r="L43" s="0">
        <f>IF(ISNUMBER(工作表1!K45),工作表1!K45,0)</f>
        <v/>
      </c>
      <c r="M43" s="0">
        <f>IF(工作表1!I45="",0,IF(COUNTIF(工作表1!$H$52:$H$71,工作表1!I45)&gt;0,0,1))</f>
        <v/>
      </c>
      <c r="N43" s="0">
        <f>IF(工作表1!N45="","",LEFT(工作表1!N45,1))</f>
        <v/>
      </c>
      <c r="O43" s="0">
        <f>IF(ISNUMBER(工作表1!P45),工作表1!P45,0)</f>
        <v/>
      </c>
      <c r="P43" s="0">
        <f>IF(工作表1!N45="",0,IF(COUNTIF(工作表1!$M$52:$M$71,工作表1!N45)&gt;0,0,1))</f>
        <v/>
      </c>
      <c r="Q43" s="0">
        <f>IF(工作表1!S45="","",LEFT(工作表1!S45,1))</f>
        <v/>
      </c>
      <c r="R43" s="0">
        <f>IF(ISNUMBER(工作表1!U45),工作表1!U45,0)</f>
        <v/>
      </c>
      <c r="S43" s="0">
        <f>IF(工作表1!S45="",0,IF(COUNTIF(工作表1!$R$52:$R$71,工作表1!S45)&gt;0,0,1))</f>
        <v/>
      </c>
    </row>
    <row r="44">
      <c r="H44" s="0">
        <f>IF(工作表1!D46="","",LEFT(工作表1!D46,1))</f>
        <v/>
      </c>
      <c r="I44" s="0">
        <f>IF(ISNUMBER(工作表1!F46),工作表1!F46,0)</f>
        <v/>
      </c>
      <c r="J44" s="0">
        <f>IF(工作表1!D46="",0,IF(COUNTIF(工作表1!$C$52:$C$71,工作表1!D46)&gt;0,0,1))</f>
        <v/>
      </c>
      <c r="K44" s="0">
        <f>IF(工作表1!I46="","",LEFT(工作表1!I46,1))</f>
        <v/>
      </c>
      <c r="L44" s="0">
        <f>IF(ISNUMBER(工作表1!K46),工作表1!K46,0)</f>
        <v/>
      </c>
      <c r="M44" s="0">
        <f>IF(工作表1!I46="",0,IF(COUNTIF(工作表1!$H$52:$H$71,工作表1!I46)&gt;0,0,1))</f>
        <v/>
      </c>
      <c r="N44" s="0">
        <f>IF(工作表1!N46="","",LEFT(工作表1!N46,1))</f>
        <v/>
      </c>
      <c r="O44" s="0">
        <f>IF(ISNUMBER(工作表1!P46),工作表1!P46,0)</f>
        <v/>
      </c>
      <c r="P44" s="0">
        <f>IF(工作表1!N46="",0,IF(COUNTIF(工作表1!$M$52:$M$71,工作表1!N46)&gt;0,0,1))</f>
        <v/>
      </c>
      <c r="Q44" s="0">
        <f>IF(工作表1!S46="","",LEFT(工作表1!S46,1))</f>
        <v/>
      </c>
      <c r="R44" s="0">
        <f>IF(ISNUMBER(工作表1!U46),工作表1!U46,0)</f>
        <v/>
      </c>
      <c r="S44" s="0">
        <f>IF(工作表1!S46="",0,IF(COUNTIF(工作表1!$R$52:$R$71,工作表1!S46)&gt;0,0,1))</f>
        <v/>
      </c>
    </row>
    <row r="45">
      <c r="H45" s="0">
        <f>IF(工作表1!D47="","",LEFT(工作表1!D47,1))</f>
        <v/>
      </c>
      <c r="I45" s="0">
        <f>IF(ISNUMBER(工作表1!F47),工作表1!F47,0)</f>
        <v/>
      </c>
      <c r="J45" s="0">
        <f>IF(工作表1!D47="",0,IF(COUNTIF(工作表1!$C$52:$C$71,工作表1!D47)&gt;0,0,1))</f>
        <v/>
      </c>
      <c r="K45" s="0">
        <f>IF(工作表1!I47="","",LEFT(工作表1!I47,1))</f>
        <v/>
      </c>
      <c r="L45" s="0">
        <f>IF(ISNUMBER(工作表1!K47),工作表1!K47,0)</f>
        <v/>
      </c>
      <c r="M45" s="0">
        <f>IF(工作表1!I47="",0,IF(COUNTIF(工作表1!$H$52:$H$71,工作表1!I47)&gt;0,0,1))</f>
        <v/>
      </c>
      <c r="N45" s="0">
        <f>IF(工作表1!N47="","",LEFT(工作表1!N47,1))</f>
        <v/>
      </c>
      <c r="O45" s="0">
        <f>IF(ISNUMBER(工作表1!P47),工作表1!P47,0)</f>
        <v/>
      </c>
      <c r="P45" s="0">
        <f>IF(工作表1!N47="",0,IF(COUNTIF(工作表1!$M$52:$M$71,工作表1!N47)&gt;0,0,1))</f>
        <v/>
      </c>
      <c r="Q45" s="0">
        <f>IF(工作表1!S47="","",LEFT(工作表1!S47,1))</f>
        <v/>
      </c>
      <c r="R45" s="0">
        <f>IF(ISNUMBER(工作表1!U47),工作表1!U47,0)</f>
        <v/>
      </c>
      <c r="S45" s="0">
        <f>IF(工作表1!S47="",0,IF(COUNTIF(工作表1!$R$52:$R$71,工作表1!S47)&gt;0,0,1))</f>
        <v/>
      </c>
    </row>
    <row r="46">
      <c r="H46" s="0">
        <f>IF(工作表1!D48="","",LEFT(工作表1!D48,1))</f>
        <v/>
      </c>
      <c r="I46" s="0">
        <f>IF(ISNUMBER(工作表1!F48),工作表1!F48,0)</f>
        <v/>
      </c>
      <c r="J46" s="0">
        <f>IF(工作表1!D48="",0,IF(COUNTIF(工作表1!$C$52:$C$71,工作表1!D48)&gt;0,0,1))</f>
        <v/>
      </c>
      <c r="K46" s="0">
        <f>IF(工作表1!I48="","",LEFT(工作表1!I48,1))</f>
        <v/>
      </c>
      <c r="L46" s="0">
        <f>IF(ISNUMBER(工作表1!K48),工作表1!K48,0)</f>
        <v/>
      </c>
      <c r="M46" s="0">
        <f>IF(工作表1!I48="",0,IF(COUNTIF(工作表1!$H$52:$H$71,工作表1!I48)&gt;0,0,1))</f>
        <v/>
      </c>
      <c r="N46" s="0">
        <f>IF(工作表1!N48="","",LEFT(工作表1!N48,1))</f>
        <v/>
      </c>
      <c r="O46" s="0">
        <f>IF(ISNUMBER(工作表1!P48),工作表1!P48,0)</f>
        <v/>
      </c>
      <c r="P46" s="0">
        <f>IF(工作表1!N48="",0,IF(COUNTIF(工作表1!$M$52:$M$71,工作表1!N48)&gt;0,0,1))</f>
        <v/>
      </c>
      <c r="Q46" s="0">
        <f>IF(工作表1!S48="","",LEFT(工作表1!S48,1))</f>
        <v/>
      </c>
      <c r="R46" s="0">
        <f>IF(ISNUMBER(工作表1!U48),工作表1!U48,0)</f>
        <v/>
      </c>
      <c r="S46" s="0">
        <f>IF(工作表1!S48="",0,IF(COUNTIF(工作表1!$R$52:$R$71,工作表1!S48)&gt;0,0,1))</f>
        <v/>
      </c>
    </row>
    <row r="47">
      <c r="I47" s="0" t="n">
        <v>0</v>
      </c>
      <c r="J47" s="0" t="n">
        <v>0</v>
      </c>
      <c r="L47" s="0" t="n">
        <v>0</v>
      </c>
      <c r="M47" s="0" t="n">
        <v>0</v>
      </c>
      <c r="O47" s="0" t="n">
        <v>0</v>
      </c>
      <c r="P47" s="0" t="n">
        <v>0</v>
      </c>
      <c r="R47" s="0" t="n">
        <v>0</v>
      </c>
      <c r="S47" s="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Arwen Kuo 郭品彣</dc:creator>
  <dcterms:created xsi:type="dcterms:W3CDTF">2026-10-03T04:15:44Z</dcterms:created>
  <dcterms:modified xsi:type="dcterms:W3CDTF">2026-10-03T12:03:13Z</dcterms:modified>
  <cp:lastModifiedBy>Arwen Kuo 郭品彣</cp:lastModifiedBy>
</cp:coreProperties>
</file>