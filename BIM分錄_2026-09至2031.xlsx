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錄" sheetId="1" state="visible" r:id="rId1"/>
    <sheet name="期末總結" sheetId="2" state="visible" r:id="rId2"/>
    <sheet name="來源明細" sheetId="3" state="visible" r:id="rId3"/>
  </sheets>
  <definedNames>
    <definedName name="_xlnm._FilterDatabase" localSheetId="2" hidden="1">'來源明細'!$A$1:$J$1401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FF7F7F7F"/>
    </font>
    <font>
      <b val="1"/>
      <color rgb="FFC00000"/>
    </font>
    <font>
      <i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3" fillId="3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" customWidth="1" min="2" max="2"/>
    <col width="22" customWidth="1" min="3" max="3"/>
    <col width="5" customWidth="1" min="4" max="4"/>
    <col width="16" customWidth="1" min="5" max="5"/>
    <col width="30" customWidth="1" min="6" max="6"/>
    <col width="1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BIM 分錄（2026/09~12、2027 分月、2028~2031 分年）</t>
        </is>
      </c>
    </row>
    <row r="2">
      <c r="A2" t="inlineStr">
        <is>
          <t>金額：+借／−貸。來源：A0 BS 1240在建（在建工程、在建損益、收入、負債準備）、B0 2264預收（預收開票）。分類依 C 欄：內部→內案、外部→外案、內/無・雜項→雜項、備標→備標。費用入帳、支付AP、收取AR 無資料未列。</t>
        </is>
      </c>
    </row>
    <row r="4" ht="30" customHeight="1">
      <c r="A4" s="2" t="inlineStr">
        <is>
          <t>分類</t>
        </is>
      </c>
      <c r="B4" s="2" t="inlineStr">
        <is>
          <t>No.</t>
        </is>
      </c>
      <c r="C4" s="2" t="inlineStr">
        <is>
          <t>交易性質</t>
        </is>
      </c>
      <c r="D4" s="2" t="inlineStr">
        <is>
          <t>借/貸</t>
        </is>
      </c>
      <c r="E4" s="2" t="inlineStr">
        <is>
          <t>會科代號</t>
        </is>
      </c>
      <c r="F4" s="2" t="inlineStr">
        <is>
          <t>會科名稱</t>
        </is>
      </c>
      <c r="G4" s="2" t="inlineStr">
        <is>
          <t>金額來源</t>
        </is>
      </c>
      <c r="H4" s="2" t="inlineStr">
        <is>
          <t>2026/09 ~ 2026/12</t>
        </is>
      </c>
      <c r="I4" s="2" t="inlineStr">
        <is>
          <t>2027/1</t>
        </is>
      </c>
      <c r="J4" s="2" t="inlineStr">
        <is>
          <t>2027/2</t>
        </is>
      </c>
      <c r="K4" s="2" t="inlineStr">
        <is>
          <t>2027/3</t>
        </is>
      </c>
      <c r="L4" s="2" t="inlineStr">
        <is>
          <t>2027/4</t>
        </is>
      </c>
      <c r="M4" s="2" t="inlineStr">
        <is>
          <t>2027/5</t>
        </is>
      </c>
      <c r="N4" s="2" t="inlineStr">
        <is>
          <t>2027/6</t>
        </is>
      </c>
      <c r="O4" s="2" t="inlineStr">
        <is>
          <t>2027/7</t>
        </is>
      </c>
      <c r="P4" s="2" t="inlineStr">
        <is>
          <t>2027/8</t>
        </is>
      </c>
      <c r="Q4" s="2" t="inlineStr">
        <is>
          <t>2027/9</t>
        </is>
      </c>
      <c r="R4" s="2" t="inlineStr">
        <is>
          <t>2027/10</t>
        </is>
      </c>
      <c r="S4" s="2" t="inlineStr">
        <is>
          <t>2027/11</t>
        </is>
      </c>
      <c r="T4" s="2" t="inlineStr">
        <is>
          <t>2027/12</t>
        </is>
      </c>
      <c r="U4" s="2" t="inlineStr">
        <is>
          <t>Year 2028</t>
        </is>
      </c>
      <c r="V4" s="2" t="inlineStr">
        <is>
          <t>Year 2029</t>
        </is>
      </c>
      <c r="W4" s="2" t="inlineStr">
        <is>
          <t>Year 2030</t>
        </is>
      </c>
      <c r="X4" s="2" t="inlineStr">
        <is>
          <t>Year 2031</t>
        </is>
      </c>
    </row>
    <row r="5">
      <c r="A5" t="inlineStr">
        <is>
          <t>內案</t>
        </is>
      </c>
      <c r="B5" t="n">
        <v>3</v>
      </c>
      <c r="C5" t="inlineStr">
        <is>
          <t>BIM月底結轉在建(CJ88)</t>
        </is>
      </c>
      <c r="D5" t="inlineStr">
        <is>
          <t>Dr.</t>
        </is>
      </c>
      <c r="E5" t="inlineStr">
        <is>
          <t>12400000</t>
        </is>
      </c>
      <c r="F5" t="inlineStr">
        <is>
          <t>在建工程</t>
        </is>
      </c>
      <c r="G5" t="inlineStr">
        <is>
          <t>A0 在建工程</t>
        </is>
      </c>
      <c r="H5" s="3">
        <f>SUMIFS('來源明細'!$F$2:$F$1401,'來源明細'!$A$2:$A$1401,H$4,'來源明細'!$E$2:$E$1401,"內案")</f>
        <v/>
      </c>
      <c r="I5" s="3">
        <f>SUMIFS('來源明細'!$F$2:$F$1401,'來源明細'!$A$2:$A$1401,I$4,'來源明細'!$E$2:$E$1401,"內案")</f>
        <v/>
      </c>
      <c r="J5" s="3">
        <f>SUMIFS('來源明細'!$F$2:$F$1401,'來源明細'!$A$2:$A$1401,J$4,'來源明細'!$E$2:$E$1401,"內案")</f>
        <v/>
      </c>
      <c r="K5" s="3">
        <f>SUMIFS('來源明細'!$F$2:$F$1401,'來源明細'!$A$2:$A$1401,K$4,'來源明細'!$E$2:$E$1401,"內案")</f>
        <v/>
      </c>
      <c r="L5" s="3">
        <f>SUMIFS('來源明細'!$F$2:$F$1401,'來源明細'!$A$2:$A$1401,L$4,'來源明細'!$E$2:$E$1401,"內案")</f>
        <v/>
      </c>
      <c r="M5" s="3">
        <f>SUMIFS('來源明細'!$F$2:$F$1401,'來源明細'!$A$2:$A$1401,M$4,'來源明細'!$E$2:$E$1401,"內案")</f>
        <v/>
      </c>
      <c r="N5" s="3">
        <f>SUMIFS('來源明細'!$F$2:$F$1401,'來源明細'!$A$2:$A$1401,N$4,'來源明細'!$E$2:$E$1401,"內案")</f>
        <v/>
      </c>
      <c r="O5" s="3">
        <f>SUMIFS('來源明細'!$F$2:$F$1401,'來源明細'!$A$2:$A$1401,O$4,'來源明細'!$E$2:$E$1401,"內案")</f>
        <v/>
      </c>
      <c r="P5" s="3">
        <f>SUMIFS('來源明細'!$F$2:$F$1401,'來源明細'!$A$2:$A$1401,P$4,'來源明細'!$E$2:$E$1401,"內案")</f>
        <v/>
      </c>
      <c r="Q5" s="3">
        <f>SUMIFS('來源明細'!$F$2:$F$1401,'來源明細'!$A$2:$A$1401,Q$4,'來源明細'!$E$2:$E$1401,"內案")</f>
        <v/>
      </c>
      <c r="R5" s="3">
        <f>SUMIFS('來源明細'!$F$2:$F$1401,'來源明細'!$A$2:$A$1401,R$4,'來源明細'!$E$2:$E$1401,"內案")</f>
        <v/>
      </c>
      <c r="S5" s="3">
        <f>SUMIFS('來源明細'!$F$2:$F$1401,'來源明細'!$A$2:$A$1401,S$4,'來源明細'!$E$2:$E$1401,"內案")</f>
        <v/>
      </c>
      <c r="T5" s="3">
        <f>SUMIFS('來源明細'!$F$2:$F$1401,'來源明細'!$A$2:$A$1401,T$4,'來源明細'!$E$2:$E$1401,"內案")</f>
        <v/>
      </c>
      <c r="U5" s="3">
        <f>SUMIFS('來源明細'!$F$2:$F$1401,'來源明細'!$A$2:$A$1401,U$4,'來源明細'!$E$2:$E$1401,"內案")</f>
        <v/>
      </c>
      <c r="V5" s="3">
        <f>SUMIFS('來源明細'!$F$2:$F$1401,'來源明細'!$A$2:$A$1401,V$4,'來源明細'!$E$2:$E$1401,"內案")</f>
        <v/>
      </c>
      <c r="W5" s="3">
        <f>SUMIFS('來源明細'!$F$2:$F$1401,'來源明細'!$A$2:$A$1401,W$4,'來源明細'!$E$2:$E$1401,"內案")</f>
        <v/>
      </c>
      <c r="X5" s="3">
        <f>SUMIFS('來源明細'!$F$2:$F$1401,'來源明細'!$A$2:$A$1401,X$4,'來源明細'!$E$2:$E$1401,"內案")</f>
        <v/>
      </c>
    </row>
    <row r="6">
      <c r="A6" t="inlineStr">
        <is>
          <t>內案</t>
        </is>
      </c>
      <c r="B6" t="n">
        <v>3</v>
      </c>
      <c r="D6" t="inlineStr">
        <is>
          <t>Cr.</t>
        </is>
      </c>
      <c r="E6" t="inlineStr">
        <is>
          <t>63810030</t>
        </is>
      </c>
      <c r="F6" t="inlineStr">
        <is>
          <t>工程費用轉在建工程</t>
        </is>
      </c>
      <c r="G6" t="inlineStr">
        <is>
          <t>上列反向</t>
        </is>
      </c>
      <c r="H6" s="3">
        <f>-H5</f>
        <v/>
      </c>
      <c r="I6" s="3">
        <f>-I5</f>
        <v/>
      </c>
      <c r="J6" s="3">
        <f>-J5</f>
        <v/>
      </c>
      <c r="K6" s="3">
        <f>-K5</f>
        <v/>
      </c>
      <c r="L6" s="3">
        <f>-L5</f>
        <v/>
      </c>
      <c r="M6" s="3">
        <f>-M5</f>
        <v/>
      </c>
      <c r="N6" s="3">
        <f>-N5</f>
        <v/>
      </c>
      <c r="O6" s="3">
        <f>-O5</f>
        <v/>
      </c>
      <c r="P6" s="3">
        <f>-P5</f>
        <v/>
      </c>
      <c r="Q6" s="3">
        <f>-Q5</f>
        <v/>
      </c>
      <c r="R6" s="3">
        <f>-R5</f>
        <v/>
      </c>
      <c r="S6" s="3">
        <f>-S5</f>
        <v/>
      </c>
      <c r="T6" s="3">
        <f>-T5</f>
        <v/>
      </c>
      <c r="U6" s="3">
        <f>-U5</f>
        <v/>
      </c>
      <c r="V6" s="3">
        <f>-V5</f>
        <v/>
      </c>
      <c r="W6" s="3">
        <f>-W5</f>
        <v/>
      </c>
      <c r="X6" s="3">
        <f>-X5</f>
        <v/>
      </c>
    </row>
    <row r="7">
      <c r="A7" s="4" t="n"/>
      <c r="B7" s="4" t="n"/>
      <c r="C7" s="4" t="n"/>
      <c r="D7" s="4" t="n"/>
      <c r="E7" s="4" t="n"/>
      <c r="F7" s="5" t="inlineStr">
        <is>
          <t>借貸差（應為0）</t>
        </is>
      </c>
      <c r="G7" s="4" t="n"/>
      <c r="H7" s="6">
        <f>ROUND(SUM(H5:H6),2)</f>
        <v/>
      </c>
      <c r="I7" s="6">
        <f>ROUND(SUM(I5:I6),2)</f>
        <v/>
      </c>
      <c r="J7" s="6">
        <f>ROUND(SUM(J5:J6),2)</f>
        <v/>
      </c>
      <c r="K7" s="6">
        <f>ROUND(SUM(K5:K6),2)</f>
        <v/>
      </c>
      <c r="L7" s="6">
        <f>ROUND(SUM(L5:L6),2)</f>
        <v/>
      </c>
      <c r="M7" s="6">
        <f>ROUND(SUM(M5:M6),2)</f>
        <v/>
      </c>
      <c r="N7" s="6">
        <f>ROUND(SUM(N5:N6),2)</f>
        <v/>
      </c>
      <c r="O7" s="6">
        <f>ROUND(SUM(O5:O6),2)</f>
        <v/>
      </c>
      <c r="P7" s="6">
        <f>ROUND(SUM(P5:P6),2)</f>
        <v/>
      </c>
      <c r="Q7" s="6">
        <f>ROUND(SUM(Q5:Q6),2)</f>
        <v/>
      </c>
      <c r="R7" s="6">
        <f>ROUND(SUM(R5:R6),2)</f>
        <v/>
      </c>
      <c r="S7" s="6">
        <f>ROUND(SUM(S5:S6),2)</f>
        <v/>
      </c>
      <c r="T7" s="6">
        <f>ROUND(SUM(T5:T6),2)</f>
        <v/>
      </c>
      <c r="U7" s="6">
        <f>ROUND(SUM(U5:U6),2)</f>
        <v/>
      </c>
      <c r="V7" s="6">
        <f>ROUND(SUM(V5:V6),2)</f>
        <v/>
      </c>
      <c r="W7" s="6">
        <f>ROUND(SUM(W5:W6),2)</f>
        <v/>
      </c>
      <c r="X7" s="6">
        <f>ROUND(SUM(X5:X6),2)</f>
        <v/>
      </c>
    </row>
    <row r="9">
      <c r="A9" t="inlineStr">
        <is>
          <t>內案</t>
        </is>
      </c>
      <c r="B9" t="n">
        <v>4</v>
      </c>
      <c r="C9" t="inlineStr">
        <is>
          <t>BIM完工百分比損益認列</t>
        </is>
      </c>
      <c r="D9" t="inlineStr">
        <is>
          <t>Dr.</t>
        </is>
      </c>
      <c r="E9" t="inlineStr">
        <is>
          <t>55110000</t>
        </is>
      </c>
      <c r="F9" t="inlineStr">
        <is>
          <t>承攬工程成本</t>
        </is>
      </c>
      <c r="G9" t="inlineStr">
        <is>
          <t>A0 在建工程</t>
        </is>
      </c>
      <c r="H9" s="3">
        <f>SUMIFS('來源明細'!$F$2:$F$1401,'來源明細'!$A$2:$A$1401,H$4,'來源明細'!$E$2:$E$1401,"內案")</f>
        <v/>
      </c>
      <c r="I9" s="3">
        <f>SUMIFS('來源明細'!$F$2:$F$1401,'來源明細'!$A$2:$A$1401,I$4,'來源明細'!$E$2:$E$1401,"內案")</f>
        <v/>
      </c>
      <c r="J9" s="3">
        <f>SUMIFS('來源明細'!$F$2:$F$1401,'來源明細'!$A$2:$A$1401,J$4,'來源明細'!$E$2:$E$1401,"內案")</f>
        <v/>
      </c>
      <c r="K9" s="3">
        <f>SUMIFS('來源明細'!$F$2:$F$1401,'來源明細'!$A$2:$A$1401,K$4,'來源明細'!$E$2:$E$1401,"內案")</f>
        <v/>
      </c>
      <c r="L9" s="3">
        <f>SUMIFS('來源明細'!$F$2:$F$1401,'來源明細'!$A$2:$A$1401,L$4,'來源明細'!$E$2:$E$1401,"內案")</f>
        <v/>
      </c>
      <c r="M9" s="3">
        <f>SUMIFS('來源明細'!$F$2:$F$1401,'來源明細'!$A$2:$A$1401,M$4,'來源明細'!$E$2:$E$1401,"內案")</f>
        <v/>
      </c>
      <c r="N9" s="3">
        <f>SUMIFS('來源明細'!$F$2:$F$1401,'來源明細'!$A$2:$A$1401,N$4,'來源明細'!$E$2:$E$1401,"內案")</f>
        <v/>
      </c>
      <c r="O9" s="3">
        <f>SUMIFS('來源明細'!$F$2:$F$1401,'來源明細'!$A$2:$A$1401,O$4,'來源明細'!$E$2:$E$1401,"內案")</f>
        <v/>
      </c>
      <c r="P9" s="3">
        <f>SUMIFS('來源明細'!$F$2:$F$1401,'來源明細'!$A$2:$A$1401,P$4,'來源明細'!$E$2:$E$1401,"內案")</f>
        <v/>
      </c>
      <c r="Q9" s="3">
        <f>SUMIFS('來源明細'!$F$2:$F$1401,'來源明細'!$A$2:$A$1401,Q$4,'來源明細'!$E$2:$E$1401,"內案")</f>
        <v/>
      </c>
      <c r="R9" s="3">
        <f>SUMIFS('來源明細'!$F$2:$F$1401,'來源明細'!$A$2:$A$1401,R$4,'來源明細'!$E$2:$E$1401,"內案")</f>
        <v/>
      </c>
      <c r="S9" s="3">
        <f>SUMIFS('來源明細'!$F$2:$F$1401,'來源明細'!$A$2:$A$1401,S$4,'來源明細'!$E$2:$E$1401,"內案")</f>
        <v/>
      </c>
      <c r="T9" s="3">
        <f>SUMIFS('來源明細'!$F$2:$F$1401,'來源明細'!$A$2:$A$1401,T$4,'來源明細'!$E$2:$E$1401,"內案")</f>
        <v/>
      </c>
      <c r="U9" s="3">
        <f>SUMIFS('來源明細'!$F$2:$F$1401,'來源明細'!$A$2:$A$1401,U$4,'來源明細'!$E$2:$E$1401,"內案")</f>
        <v/>
      </c>
      <c r="V9" s="3">
        <f>SUMIFS('來源明細'!$F$2:$F$1401,'來源明細'!$A$2:$A$1401,V$4,'來源明細'!$E$2:$E$1401,"內案")</f>
        <v/>
      </c>
      <c r="W9" s="3">
        <f>SUMIFS('來源明細'!$F$2:$F$1401,'來源明細'!$A$2:$A$1401,W$4,'來源明細'!$E$2:$E$1401,"內案")</f>
        <v/>
      </c>
      <c r="X9" s="3">
        <f>SUMIFS('來源明細'!$F$2:$F$1401,'來源明細'!$A$2:$A$1401,X$4,'來源明細'!$E$2:$E$1401,"內案")</f>
        <v/>
      </c>
    </row>
    <row r="10">
      <c r="A10" t="inlineStr">
        <is>
          <t>內案</t>
        </is>
      </c>
      <c r="B10" t="n">
        <v>4</v>
      </c>
      <c r="D10" t="inlineStr">
        <is>
          <t>Dr.</t>
        </is>
      </c>
      <c r="E10" t="inlineStr">
        <is>
          <t>12470000</t>
        </is>
      </c>
      <c r="F10" t="inlineStr">
        <is>
          <t>在建損益-承攬案</t>
        </is>
      </c>
      <c r="G10" t="inlineStr">
        <is>
          <t>A0 在建損益</t>
        </is>
      </c>
      <c r="H10" s="3">
        <f>SUMIFS('來源明細'!$G$2:$G$1401,'來源明細'!$A$2:$A$1401,H$4,'來源明細'!$E$2:$E$1401,"內案")</f>
        <v/>
      </c>
      <c r="I10" s="3">
        <f>SUMIFS('來源明細'!$G$2:$G$1401,'來源明細'!$A$2:$A$1401,I$4,'來源明細'!$E$2:$E$1401,"內案")</f>
        <v/>
      </c>
      <c r="J10" s="3">
        <f>SUMIFS('來源明細'!$G$2:$G$1401,'來源明細'!$A$2:$A$1401,J$4,'來源明細'!$E$2:$E$1401,"內案")</f>
        <v/>
      </c>
      <c r="K10" s="3">
        <f>SUMIFS('來源明細'!$G$2:$G$1401,'來源明細'!$A$2:$A$1401,K$4,'來源明細'!$E$2:$E$1401,"內案")</f>
        <v/>
      </c>
      <c r="L10" s="3">
        <f>SUMIFS('來源明細'!$G$2:$G$1401,'來源明細'!$A$2:$A$1401,L$4,'來源明細'!$E$2:$E$1401,"內案")</f>
        <v/>
      </c>
      <c r="M10" s="3">
        <f>SUMIFS('來源明細'!$G$2:$G$1401,'來源明細'!$A$2:$A$1401,M$4,'來源明細'!$E$2:$E$1401,"內案")</f>
        <v/>
      </c>
      <c r="N10" s="3">
        <f>SUMIFS('來源明細'!$G$2:$G$1401,'來源明細'!$A$2:$A$1401,N$4,'來源明細'!$E$2:$E$1401,"內案")</f>
        <v/>
      </c>
      <c r="O10" s="3">
        <f>SUMIFS('來源明細'!$G$2:$G$1401,'來源明細'!$A$2:$A$1401,O$4,'來源明細'!$E$2:$E$1401,"內案")</f>
        <v/>
      </c>
      <c r="P10" s="3">
        <f>SUMIFS('來源明細'!$G$2:$G$1401,'來源明細'!$A$2:$A$1401,P$4,'來源明細'!$E$2:$E$1401,"內案")</f>
        <v/>
      </c>
      <c r="Q10" s="3">
        <f>SUMIFS('來源明細'!$G$2:$G$1401,'來源明細'!$A$2:$A$1401,Q$4,'來源明細'!$E$2:$E$1401,"內案")</f>
        <v/>
      </c>
      <c r="R10" s="3">
        <f>SUMIFS('來源明細'!$G$2:$G$1401,'來源明細'!$A$2:$A$1401,R$4,'來源明細'!$E$2:$E$1401,"內案")</f>
        <v/>
      </c>
      <c r="S10" s="3">
        <f>SUMIFS('來源明細'!$G$2:$G$1401,'來源明細'!$A$2:$A$1401,S$4,'來源明細'!$E$2:$E$1401,"內案")</f>
        <v/>
      </c>
      <c r="T10" s="3">
        <f>SUMIFS('來源明細'!$G$2:$G$1401,'來源明細'!$A$2:$A$1401,T$4,'來源明細'!$E$2:$E$1401,"內案")</f>
        <v/>
      </c>
      <c r="U10" s="3">
        <f>SUMIFS('來源明細'!$G$2:$G$1401,'來源明細'!$A$2:$A$1401,U$4,'來源明細'!$E$2:$E$1401,"內案")</f>
        <v/>
      </c>
      <c r="V10" s="3">
        <f>SUMIFS('來源明細'!$G$2:$G$1401,'來源明細'!$A$2:$A$1401,V$4,'來源明細'!$E$2:$E$1401,"內案")</f>
        <v/>
      </c>
      <c r="W10" s="3">
        <f>SUMIFS('來源明細'!$G$2:$G$1401,'來源明細'!$A$2:$A$1401,W$4,'來源明細'!$E$2:$E$1401,"內案")</f>
        <v/>
      </c>
      <c r="X10" s="3">
        <f>SUMIFS('來源明細'!$G$2:$G$1401,'來源明細'!$A$2:$A$1401,X$4,'來源明細'!$E$2:$E$1401,"內案")</f>
        <v/>
      </c>
    </row>
    <row r="11">
      <c r="A11" t="inlineStr">
        <is>
          <t>內案</t>
        </is>
      </c>
      <c r="B11" t="n">
        <v>4</v>
      </c>
      <c r="D11" t="inlineStr">
        <is>
          <t>Cr.</t>
        </is>
      </c>
      <c r="E11" t="inlineStr">
        <is>
          <t>45110000</t>
        </is>
      </c>
      <c r="F11" t="inlineStr">
        <is>
          <t>承攬工程收入</t>
        </is>
      </c>
      <c r="G11" t="inlineStr">
        <is>
          <t>A0 收入Total</t>
        </is>
      </c>
      <c r="H11" s="3">
        <f>-SUMIFS('來源明細'!$H$2:$H$1401,'來源明細'!$A$2:$A$1401,H$4,'來源明細'!$E$2:$E$1401,"內案")</f>
        <v/>
      </c>
      <c r="I11" s="3">
        <f>-SUMIFS('來源明細'!$H$2:$H$1401,'來源明細'!$A$2:$A$1401,I$4,'來源明細'!$E$2:$E$1401,"內案")</f>
        <v/>
      </c>
      <c r="J11" s="3">
        <f>-SUMIFS('來源明細'!$H$2:$H$1401,'來源明細'!$A$2:$A$1401,J$4,'來源明細'!$E$2:$E$1401,"內案")</f>
        <v/>
      </c>
      <c r="K11" s="3">
        <f>-SUMIFS('來源明細'!$H$2:$H$1401,'來源明細'!$A$2:$A$1401,K$4,'來源明細'!$E$2:$E$1401,"內案")</f>
        <v/>
      </c>
      <c r="L11" s="3">
        <f>-SUMIFS('來源明細'!$H$2:$H$1401,'來源明細'!$A$2:$A$1401,L$4,'來源明細'!$E$2:$E$1401,"內案")</f>
        <v/>
      </c>
      <c r="M11" s="3">
        <f>-SUMIFS('來源明細'!$H$2:$H$1401,'來源明細'!$A$2:$A$1401,M$4,'來源明細'!$E$2:$E$1401,"內案")</f>
        <v/>
      </c>
      <c r="N11" s="3">
        <f>-SUMIFS('來源明細'!$H$2:$H$1401,'來源明細'!$A$2:$A$1401,N$4,'來源明細'!$E$2:$E$1401,"內案")</f>
        <v/>
      </c>
      <c r="O11" s="3">
        <f>-SUMIFS('來源明細'!$H$2:$H$1401,'來源明細'!$A$2:$A$1401,O$4,'來源明細'!$E$2:$E$1401,"內案")</f>
        <v/>
      </c>
      <c r="P11" s="3">
        <f>-SUMIFS('來源明細'!$H$2:$H$1401,'來源明細'!$A$2:$A$1401,P$4,'來源明細'!$E$2:$E$1401,"內案")</f>
        <v/>
      </c>
      <c r="Q11" s="3">
        <f>-SUMIFS('來源明細'!$H$2:$H$1401,'來源明細'!$A$2:$A$1401,Q$4,'來源明細'!$E$2:$E$1401,"內案")</f>
        <v/>
      </c>
      <c r="R11" s="3">
        <f>-SUMIFS('來源明細'!$H$2:$H$1401,'來源明細'!$A$2:$A$1401,R$4,'來源明細'!$E$2:$E$1401,"內案")</f>
        <v/>
      </c>
      <c r="S11" s="3">
        <f>-SUMIFS('來源明細'!$H$2:$H$1401,'來源明細'!$A$2:$A$1401,S$4,'來源明細'!$E$2:$E$1401,"內案")</f>
        <v/>
      </c>
      <c r="T11" s="3">
        <f>-SUMIFS('來源明細'!$H$2:$H$1401,'來源明細'!$A$2:$A$1401,T$4,'來源明細'!$E$2:$E$1401,"內案")</f>
        <v/>
      </c>
      <c r="U11" s="3">
        <f>-SUMIFS('來源明細'!$H$2:$H$1401,'來源明細'!$A$2:$A$1401,U$4,'來源明細'!$E$2:$E$1401,"內案")</f>
        <v/>
      </c>
      <c r="V11" s="3">
        <f>-SUMIFS('來源明細'!$H$2:$H$1401,'來源明細'!$A$2:$A$1401,V$4,'來源明細'!$E$2:$E$1401,"內案")</f>
        <v/>
      </c>
      <c r="W11" s="3">
        <f>-SUMIFS('來源明細'!$H$2:$H$1401,'來源明細'!$A$2:$A$1401,W$4,'來源明細'!$E$2:$E$1401,"內案")</f>
        <v/>
      </c>
      <c r="X11" s="3">
        <f>-SUMIFS('來源明細'!$H$2:$H$1401,'來源明細'!$A$2:$A$1401,X$4,'來源明細'!$E$2:$E$1401,"內案")</f>
        <v/>
      </c>
    </row>
    <row r="12">
      <c r="A12" s="4" t="n"/>
      <c r="B12" s="4" t="n"/>
      <c r="C12" s="4" t="n"/>
      <c r="D12" s="4" t="n"/>
      <c r="E12" s="4" t="n"/>
      <c r="F12" s="5" t="inlineStr">
        <is>
          <t>借貸差（應為0）</t>
        </is>
      </c>
      <c r="G12" s="4" t="n"/>
      <c r="H12" s="6">
        <f>ROUND(SUM(H9:H11),2)</f>
        <v/>
      </c>
      <c r="I12" s="6">
        <f>ROUND(SUM(I9:I11),2)</f>
        <v/>
      </c>
      <c r="J12" s="6">
        <f>ROUND(SUM(J9:J11),2)</f>
        <v/>
      </c>
      <c r="K12" s="6">
        <f>ROUND(SUM(K9:K11),2)</f>
        <v/>
      </c>
      <c r="L12" s="6">
        <f>ROUND(SUM(L9:L11),2)</f>
        <v/>
      </c>
      <c r="M12" s="6">
        <f>ROUND(SUM(M9:M11),2)</f>
        <v/>
      </c>
      <c r="N12" s="6">
        <f>ROUND(SUM(N9:N11),2)</f>
        <v/>
      </c>
      <c r="O12" s="6">
        <f>ROUND(SUM(O9:O11),2)</f>
        <v/>
      </c>
      <c r="P12" s="6">
        <f>ROUND(SUM(P9:P11),2)</f>
        <v/>
      </c>
      <c r="Q12" s="6">
        <f>ROUND(SUM(Q9:Q11),2)</f>
        <v/>
      </c>
      <c r="R12" s="6">
        <f>ROUND(SUM(R9:R11),2)</f>
        <v/>
      </c>
      <c r="S12" s="6">
        <f>ROUND(SUM(S9:S11),2)</f>
        <v/>
      </c>
      <c r="T12" s="6">
        <f>ROUND(SUM(T9:T11),2)</f>
        <v/>
      </c>
      <c r="U12" s="6">
        <f>ROUND(SUM(U9:U11),2)</f>
        <v/>
      </c>
      <c r="V12" s="6">
        <f>ROUND(SUM(V9:V11),2)</f>
        <v/>
      </c>
      <c r="W12" s="6">
        <f>ROUND(SUM(W9:W11),2)</f>
        <v/>
      </c>
      <c r="X12" s="6">
        <f>ROUND(SUM(X9:X11),2)</f>
        <v/>
      </c>
    </row>
    <row r="14">
      <c r="A14" t="inlineStr">
        <is>
          <t>內案</t>
        </is>
      </c>
      <c r="B14" t="n">
        <v>5</v>
      </c>
      <c r="C14" t="inlineStr">
        <is>
          <t>BIM開立發票(內部計價)</t>
        </is>
      </c>
      <c r="D14" t="inlineStr">
        <is>
          <t>Dr.</t>
        </is>
      </c>
      <c r="E14" t="inlineStr">
        <is>
          <t>11430000</t>
        </is>
      </c>
      <c r="F14" t="inlineStr">
        <is>
          <t>公司內部往來-TO &amp; BIM</t>
        </is>
      </c>
      <c r="G14" t="inlineStr">
        <is>
          <t>B0 預收開票</t>
        </is>
      </c>
      <c r="H14" s="3">
        <f>SUMIFS('來源明細'!$J$2:$J$1401,'來源明細'!$A$2:$A$1401,H$4,'來源明細'!$E$2:$E$1401,"內案")</f>
        <v/>
      </c>
      <c r="I14" s="3">
        <f>SUMIFS('來源明細'!$J$2:$J$1401,'來源明細'!$A$2:$A$1401,I$4,'來源明細'!$E$2:$E$1401,"內案")</f>
        <v/>
      </c>
      <c r="J14" s="3">
        <f>SUMIFS('來源明細'!$J$2:$J$1401,'來源明細'!$A$2:$A$1401,J$4,'來源明細'!$E$2:$E$1401,"內案")</f>
        <v/>
      </c>
      <c r="K14" s="3">
        <f>SUMIFS('來源明細'!$J$2:$J$1401,'來源明細'!$A$2:$A$1401,K$4,'來源明細'!$E$2:$E$1401,"內案")</f>
        <v/>
      </c>
      <c r="L14" s="3">
        <f>SUMIFS('來源明細'!$J$2:$J$1401,'來源明細'!$A$2:$A$1401,L$4,'來源明細'!$E$2:$E$1401,"內案")</f>
        <v/>
      </c>
      <c r="M14" s="3">
        <f>SUMIFS('來源明細'!$J$2:$J$1401,'來源明細'!$A$2:$A$1401,M$4,'來源明細'!$E$2:$E$1401,"內案")</f>
        <v/>
      </c>
      <c r="N14" s="3">
        <f>SUMIFS('來源明細'!$J$2:$J$1401,'來源明細'!$A$2:$A$1401,N$4,'來源明細'!$E$2:$E$1401,"內案")</f>
        <v/>
      </c>
      <c r="O14" s="3">
        <f>SUMIFS('來源明細'!$J$2:$J$1401,'來源明細'!$A$2:$A$1401,O$4,'來源明細'!$E$2:$E$1401,"內案")</f>
        <v/>
      </c>
      <c r="P14" s="3">
        <f>SUMIFS('來源明細'!$J$2:$J$1401,'來源明細'!$A$2:$A$1401,P$4,'來源明細'!$E$2:$E$1401,"內案")</f>
        <v/>
      </c>
      <c r="Q14" s="3">
        <f>SUMIFS('來源明細'!$J$2:$J$1401,'來源明細'!$A$2:$A$1401,Q$4,'來源明細'!$E$2:$E$1401,"內案")</f>
        <v/>
      </c>
      <c r="R14" s="3">
        <f>SUMIFS('來源明細'!$J$2:$J$1401,'來源明細'!$A$2:$A$1401,R$4,'來源明細'!$E$2:$E$1401,"內案")</f>
        <v/>
      </c>
      <c r="S14" s="3">
        <f>SUMIFS('來源明細'!$J$2:$J$1401,'來源明細'!$A$2:$A$1401,S$4,'來源明細'!$E$2:$E$1401,"內案")</f>
        <v/>
      </c>
      <c r="T14" s="3">
        <f>SUMIFS('來源明細'!$J$2:$J$1401,'來源明細'!$A$2:$A$1401,T$4,'來源明細'!$E$2:$E$1401,"內案")</f>
        <v/>
      </c>
      <c r="U14" s="3">
        <f>SUMIFS('來源明細'!$J$2:$J$1401,'來源明細'!$A$2:$A$1401,U$4,'來源明細'!$E$2:$E$1401,"內案")</f>
        <v/>
      </c>
      <c r="V14" s="3">
        <f>SUMIFS('來源明細'!$J$2:$J$1401,'來源明細'!$A$2:$A$1401,V$4,'來源明細'!$E$2:$E$1401,"內案")</f>
        <v/>
      </c>
      <c r="W14" s="3">
        <f>SUMIFS('來源明細'!$J$2:$J$1401,'來源明細'!$A$2:$A$1401,W$4,'來源明細'!$E$2:$E$1401,"內案")</f>
        <v/>
      </c>
      <c r="X14" s="3">
        <f>SUMIFS('來源明細'!$J$2:$J$1401,'來源明細'!$A$2:$A$1401,X$4,'來源明細'!$E$2:$E$1401,"內案")</f>
        <v/>
      </c>
    </row>
    <row r="15">
      <c r="A15" t="inlineStr">
        <is>
          <t>內案</t>
        </is>
      </c>
      <c r="B15" t="n">
        <v>5</v>
      </c>
      <c r="D15" t="inlineStr">
        <is>
          <t>Cr.</t>
        </is>
      </c>
      <c r="E15" t="inlineStr">
        <is>
          <t>22640000</t>
        </is>
      </c>
      <c r="F15" t="inlineStr">
        <is>
          <t>預收工程款</t>
        </is>
      </c>
      <c r="G15" t="inlineStr">
        <is>
          <t>上列反向</t>
        </is>
      </c>
      <c r="H15" s="3">
        <f>-H14</f>
        <v/>
      </c>
      <c r="I15" s="3">
        <f>-I14</f>
        <v/>
      </c>
      <c r="J15" s="3">
        <f>-J14</f>
        <v/>
      </c>
      <c r="K15" s="3">
        <f>-K14</f>
        <v/>
      </c>
      <c r="L15" s="3">
        <f>-L14</f>
        <v/>
      </c>
      <c r="M15" s="3">
        <f>-M14</f>
        <v/>
      </c>
      <c r="N15" s="3">
        <f>-N14</f>
        <v/>
      </c>
      <c r="O15" s="3">
        <f>-O14</f>
        <v/>
      </c>
      <c r="P15" s="3">
        <f>-P14</f>
        <v/>
      </c>
      <c r="Q15" s="3">
        <f>-Q14</f>
        <v/>
      </c>
      <c r="R15" s="3">
        <f>-R14</f>
        <v/>
      </c>
      <c r="S15" s="3">
        <f>-S14</f>
        <v/>
      </c>
      <c r="T15" s="3">
        <f>-T14</f>
        <v/>
      </c>
      <c r="U15" s="3">
        <f>-U14</f>
        <v/>
      </c>
      <c r="V15" s="3">
        <f>-V14</f>
        <v/>
      </c>
      <c r="W15" s="3">
        <f>-W14</f>
        <v/>
      </c>
      <c r="X15" s="3">
        <f>-X14</f>
        <v/>
      </c>
    </row>
    <row r="16">
      <c r="A16" s="4" t="n"/>
      <c r="B16" s="4" t="n"/>
      <c r="C16" s="4" t="n"/>
      <c r="D16" s="4" t="n"/>
      <c r="E16" s="4" t="n"/>
      <c r="F16" s="5" t="inlineStr">
        <is>
          <t>借貸差（應為0）</t>
        </is>
      </c>
      <c r="G16" s="4" t="n"/>
      <c r="H16" s="6">
        <f>ROUND(SUM(H14:H15),2)</f>
        <v/>
      </c>
      <c r="I16" s="6">
        <f>ROUND(SUM(I14:I15),2)</f>
        <v/>
      </c>
      <c r="J16" s="6">
        <f>ROUND(SUM(J14:J15),2)</f>
        <v/>
      </c>
      <c r="K16" s="6">
        <f>ROUND(SUM(K14:K15),2)</f>
        <v/>
      </c>
      <c r="L16" s="6">
        <f>ROUND(SUM(L14:L15),2)</f>
        <v/>
      </c>
      <c r="M16" s="6">
        <f>ROUND(SUM(M14:M15),2)</f>
        <v/>
      </c>
      <c r="N16" s="6">
        <f>ROUND(SUM(N14:N15),2)</f>
        <v/>
      </c>
      <c r="O16" s="6">
        <f>ROUND(SUM(O14:O15),2)</f>
        <v/>
      </c>
      <c r="P16" s="6">
        <f>ROUND(SUM(P14:P15),2)</f>
        <v/>
      </c>
      <c r="Q16" s="6">
        <f>ROUND(SUM(Q14:Q15),2)</f>
        <v/>
      </c>
      <c r="R16" s="6">
        <f>ROUND(SUM(R14:R15),2)</f>
        <v/>
      </c>
      <c r="S16" s="6">
        <f>ROUND(SUM(S14:S15),2)</f>
        <v/>
      </c>
      <c r="T16" s="6">
        <f>ROUND(SUM(T14:T15),2)</f>
        <v/>
      </c>
      <c r="U16" s="6">
        <f>ROUND(SUM(U14:U15),2)</f>
        <v/>
      </c>
      <c r="V16" s="6">
        <f>ROUND(SUM(V14:V15),2)</f>
        <v/>
      </c>
      <c r="W16" s="6">
        <f>ROUND(SUM(W14:W15),2)</f>
        <v/>
      </c>
      <c r="X16" s="6">
        <f>ROUND(SUM(X14:X15),2)</f>
        <v/>
      </c>
    </row>
    <row r="18">
      <c r="A18" t="inlineStr">
        <is>
          <t>內案</t>
        </is>
      </c>
      <c r="B18" t="n">
        <v>6</v>
      </c>
      <c r="C18" t="inlineStr">
        <is>
          <t>毛損認列負債準備</t>
        </is>
      </c>
      <c r="D18" t="inlineStr">
        <is>
          <t>Dr.</t>
        </is>
      </c>
      <c r="E18" t="inlineStr">
        <is>
          <t>55110000</t>
        </is>
      </c>
      <c r="F18" t="inlineStr">
        <is>
          <t>承攬工程成本</t>
        </is>
      </c>
      <c r="G18" t="inlineStr">
        <is>
          <t>A0 負債準備反向</t>
        </is>
      </c>
      <c r="H18" s="3">
        <f>-SUMIFS('來源明細'!$I$2:$I$1401,'來源明細'!$A$2:$A$1401,H$4,'來源明細'!$E$2:$E$1401,"內案")</f>
        <v/>
      </c>
      <c r="I18" s="3">
        <f>-SUMIFS('來源明細'!$I$2:$I$1401,'來源明細'!$A$2:$A$1401,I$4,'來源明細'!$E$2:$E$1401,"內案")</f>
        <v/>
      </c>
      <c r="J18" s="3">
        <f>-SUMIFS('來源明細'!$I$2:$I$1401,'來源明細'!$A$2:$A$1401,J$4,'來源明細'!$E$2:$E$1401,"內案")</f>
        <v/>
      </c>
      <c r="K18" s="3">
        <f>-SUMIFS('來源明細'!$I$2:$I$1401,'來源明細'!$A$2:$A$1401,K$4,'來源明細'!$E$2:$E$1401,"內案")</f>
        <v/>
      </c>
      <c r="L18" s="3">
        <f>-SUMIFS('來源明細'!$I$2:$I$1401,'來源明細'!$A$2:$A$1401,L$4,'來源明細'!$E$2:$E$1401,"內案")</f>
        <v/>
      </c>
      <c r="M18" s="3">
        <f>-SUMIFS('來源明細'!$I$2:$I$1401,'來源明細'!$A$2:$A$1401,M$4,'來源明細'!$E$2:$E$1401,"內案")</f>
        <v/>
      </c>
      <c r="N18" s="3">
        <f>-SUMIFS('來源明細'!$I$2:$I$1401,'來源明細'!$A$2:$A$1401,N$4,'來源明細'!$E$2:$E$1401,"內案")</f>
        <v/>
      </c>
      <c r="O18" s="3">
        <f>-SUMIFS('來源明細'!$I$2:$I$1401,'來源明細'!$A$2:$A$1401,O$4,'來源明細'!$E$2:$E$1401,"內案")</f>
        <v/>
      </c>
      <c r="P18" s="3">
        <f>-SUMIFS('來源明細'!$I$2:$I$1401,'來源明細'!$A$2:$A$1401,P$4,'來源明細'!$E$2:$E$1401,"內案")</f>
        <v/>
      </c>
      <c r="Q18" s="3">
        <f>-SUMIFS('來源明細'!$I$2:$I$1401,'來源明細'!$A$2:$A$1401,Q$4,'來源明細'!$E$2:$E$1401,"內案")</f>
        <v/>
      </c>
      <c r="R18" s="3">
        <f>-SUMIFS('來源明細'!$I$2:$I$1401,'來源明細'!$A$2:$A$1401,R$4,'來源明細'!$E$2:$E$1401,"內案")</f>
        <v/>
      </c>
      <c r="S18" s="3">
        <f>-SUMIFS('來源明細'!$I$2:$I$1401,'來源明細'!$A$2:$A$1401,S$4,'來源明細'!$E$2:$E$1401,"內案")</f>
        <v/>
      </c>
      <c r="T18" s="3">
        <f>-SUMIFS('來源明細'!$I$2:$I$1401,'來源明細'!$A$2:$A$1401,T$4,'來源明細'!$E$2:$E$1401,"內案")</f>
        <v/>
      </c>
      <c r="U18" s="3">
        <f>-SUMIFS('來源明細'!$I$2:$I$1401,'來源明細'!$A$2:$A$1401,U$4,'來源明細'!$E$2:$E$1401,"內案")</f>
        <v/>
      </c>
      <c r="V18" s="3">
        <f>-SUMIFS('來源明細'!$I$2:$I$1401,'來源明細'!$A$2:$A$1401,V$4,'來源明細'!$E$2:$E$1401,"內案")</f>
        <v/>
      </c>
      <c r="W18" s="3">
        <f>-SUMIFS('來源明細'!$I$2:$I$1401,'來源明細'!$A$2:$A$1401,W$4,'來源明細'!$E$2:$E$1401,"內案")</f>
        <v/>
      </c>
      <c r="X18" s="3">
        <f>-SUMIFS('來源明細'!$I$2:$I$1401,'來源明細'!$A$2:$A$1401,X$4,'來源明細'!$E$2:$E$1401,"內案")</f>
        <v/>
      </c>
    </row>
    <row r="19">
      <c r="A19" t="inlineStr">
        <is>
          <t>內案</t>
        </is>
      </c>
      <c r="B19" t="n">
        <v>6</v>
      </c>
      <c r="D19" t="inlineStr">
        <is>
          <t>Cr.</t>
        </is>
      </c>
      <c r="F19" t="inlineStr">
        <is>
          <t>負債準備-在建損失</t>
        </is>
      </c>
      <c r="G19" t="inlineStr">
        <is>
          <t>A0 負債準備</t>
        </is>
      </c>
      <c r="H19" s="3">
        <f>-H18</f>
        <v/>
      </c>
      <c r="I19" s="3">
        <f>-I18</f>
        <v/>
      </c>
      <c r="J19" s="3">
        <f>-J18</f>
        <v/>
      </c>
      <c r="K19" s="3">
        <f>-K18</f>
        <v/>
      </c>
      <c r="L19" s="3">
        <f>-L18</f>
        <v/>
      </c>
      <c r="M19" s="3">
        <f>-M18</f>
        <v/>
      </c>
      <c r="N19" s="3">
        <f>-N18</f>
        <v/>
      </c>
      <c r="O19" s="3">
        <f>-O18</f>
        <v/>
      </c>
      <c r="P19" s="3">
        <f>-P18</f>
        <v/>
      </c>
      <c r="Q19" s="3">
        <f>-Q18</f>
        <v/>
      </c>
      <c r="R19" s="3">
        <f>-R18</f>
        <v/>
      </c>
      <c r="S19" s="3">
        <f>-S18</f>
        <v/>
      </c>
      <c r="T19" s="3">
        <f>-T18</f>
        <v/>
      </c>
      <c r="U19" s="3">
        <f>-U18</f>
        <v/>
      </c>
      <c r="V19" s="3">
        <f>-V18</f>
        <v/>
      </c>
      <c r="W19" s="3">
        <f>-W18</f>
        <v/>
      </c>
      <c r="X19" s="3">
        <f>-X18</f>
        <v/>
      </c>
    </row>
    <row r="20">
      <c r="A20" s="4" t="n"/>
      <c r="B20" s="4" t="n"/>
      <c r="C20" s="4" t="n"/>
      <c r="D20" s="4" t="n"/>
      <c r="E20" s="4" t="n"/>
      <c r="F20" s="5" t="inlineStr">
        <is>
          <t>借貸差（應為0）</t>
        </is>
      </c>
      <c r="G20" s="4" t="n"/>
      <c r="H20" s="6">
        <f>ROUND(SUM(H18:H19),2)</f>
        <v/>
      </c>
      <c r="I20" s="6">
        <f>ROUND(SUM(I18:I19),2)</f>
        <v/>
      </c>
      <c r="J20" s="6">
        <f>ROUND(SUM(J18:J19),2)</f>
        <v/>
      </c>
      <c r="K20" s="6">
        <f>ROUND(SUM(K18:K19),2)</f>
        <v/>
      </c>
      <c r="L20" s="6">
        <f>ROUND(SUM(L18:L19),2)</f>
        <v/>
      </c>
      <c r="M20" s="6">
        <f>ROUND(SUM(M18:M19),2)</f>
        <v/>
      </c>
      <c r="N20" s="6">
        <f>ROUND(SUM(N18:N19),2)</f>
        <v/>
      </c>
      <c r="O20" s="6">
        <f>ROUND(SUM(O18:O19),2)</f>
        <v/>
      </c>
      <c r="P20" s="6">
        <f>ROUND(SUM(P18:P19),2)</f>
        <v/>
      </c>
      <c r="Q20" s="6">
        <f>ROUND(SUM(Q18:Q19),2)</f>
        <v/>
      </c>
      <c r="R20" s="6">
        <f>ROUND(SUM(R18:R19),2)</f>
        <v/>
      </c>
      <c r="S20" s="6">
        <f>ROUND(SUM(S18:S19),2)</f>
        <v/>
      </c>
      <c r="T20" s="6">
        <f>ROUND(SUM(T18:T19),2)</f>
        <v/>
      </c>
      <c r="U20" s="6">
        <f>ROUND(SUM(U18:U19),2)</f>
        <v/>
      </c>
      <c r="V20" s="6">
        <f>ROUND(SUM(V18:V19),2)</f>
        <v/>
      </c>
      <c r="W20" s="6">
        <f>ROUND(SUM(W18:W19),2)</f>
        <v/>
      </c>
      <c r="X20" s="6">
        <f>ROUND(SUM(X18:X19),2)</f>
        <v/>
      </c>
    </row>
    <row r="22">
      <c r="A22" t="inlineStr">
        <is>
          <t>外案</t>
        </is>
      </c>
      <c r="B22" t="n">
        <v>3</v>
      </c>
      <c r="C22" t="inlineStr">
        <is>
          <t>BIM月底結轉在建(CJ88)</t>
        </is>
      </c>
      <c r="D22" t="inlineStr">
        <is>
          <t>Dr.</t>
        </is>
      </c>
      <c r="E22" t="inlineStr">
        <is>
          <t>12400000</t>
        </is>
      </c>
      <c r="F22" t="inlineStr">
        <is>
          <t>在建工程</t>
        </is>
      </c>
      <c r="G22" t="inlineStr">
        <is>
          <t>A0 在建工程</t>
        </is>
      </c>
      <c r="H22" s="3">
        <f>SUMIFS('來源明細'!$F$2:$F$1401,'來源明細'!$A$2:$A$1401,H$4,'來源明細'!$E$2:$E$1401,"外案")</f>
        <v/>
      </c>
      <c r="I22" s="3">
        <f>SUMIFS('來源明細'!$F$2:$F$1401,'來源明細'!$A$2:$A$1401,I$4,'來源明細'!$E$2:$E$1401,"外案")</f>
        <v/>
      </c>
      <c r="J22" s="3">
        <f>SUMIFS('來源明細'!$F$2:$F$1401,'來源明細'!$A$2:$A$1401,J$4,'來源明細'!$E$2:$E$1401,"外案")</f>
        <v/>
      </c>
      <c r="K22" s="3">
        <f>SUMIFS('來源明細'!$F$2:$F$1401,'來源明細'!$A$2:$A$1401,K$4,'來源明細'!$E$2:$E$1401,"外案")</f>
        <v/>
      </c>
      <c r="L22" s="3">
        <f>SUMIFS('來源明細'!$F$2:$F$1401,'來源明細'!$A$2:$A$1401,L$4,'來源明細'!$E$2:$E$1401,"外案")</f>
        <v/>
      </c>
      <c r="M22" s="3">
        <f>SUMIFS('來源明細'!$F$2:$F$1401,'來源明細'!$A$2:$A$1401,M$4,'來源明細'!$E$2:$E$1401,"外案")</f>
        <v/>
      </c>
      <c r="N22" s="3">
        <f>SUMIFS('來源明細'!$F$2:$F$1401,'來源明細'!$A$2:$A$1401,N$4,'來源明細'!$E$2:$E$1401,"外案")</f>
        <v/>
      </c>
      <c r="O22" s="3">
        <f>SUMIFS('來源明細'!$F$2:$F$1401,'來源明細'!$A$2:$A$1401,O$4,'來源明細'!$E$2:$E$1401,"外案")</f>
        <v/>
      </c>
      <c r="P22" s="3">
        <f>SUMIFS('來源明細'!$F$2:$F$1401,'來源明細'!$A$2:$A$1401,P$4,'來源明細'!$E$2:$E$1401,"外案")</f>
        <v/>
      </c>
      <c r="Q22" s="3">
        <f>SUMIFS('來源明細'!$F$2:$F$1401,'來源明細'!$A$2:$A$1401,Q$4,'來源明細'!$E$2:$E$1401,"外案")</f>
        <v/>
      </c>
      <c r="R22" s="3">
        <f>SUMIFS('來源明細'!$F$2:$F$1401,'來源明細'!$A$2:$A$1401,R$4,'來源明細'!$E$2:$E$1401,"外案")</f>
        <v/>
      </c>
      <c r="S22" s="3">
        <f>SUMIFS('來源明細'!$F$2:$F$1401,'來源明細'!$A$2:$A$1401,S$4,'來源明細'!$E$2:$E$1401,"外案")</f>
        <v/>
      </c>
      <c r="T22" s="3">
        <f>SUMIFS('來源明細'!$F$2:$F$1401,'來源明細'!$A$2:$A$1401,T$4,'來源明細'!$E$2:$E$1401,"外案")</f>
        <v/>
      </c>
      <c r="U22" s="3">
        <f>SUMIFS('來源明細'!$F$2:$F$1401,'來源明細'!$A$2:$A$1401,U$4,'來源明細'!$E$2:$E$1401,"外案")</f>
        <v/>
      </c>
      <c r="V22" s="3">
        <f>SUMIFS('來源明細'!$F$2:$F$1401,'來源明細'!$A$2:$A$1401,V$4,'來源明細'!$E$2:$E$1401,"外案")</f>
        <v/>
      </c>
      <c r="W22" s="3">
        <f>SUMIFS('來源明細'!$F$2:$F$1401,'來源明細'!$A$2:$A$1401,W$4,'來源明細'!$E$2:$E$1401,"外案")</f>
        <v/>
      </c>
      <c r="X22" s="3">
        <f>SUMIFS('來源明細'!$F$2:$F$1401,'來源明細'!$A$2:$A$1401,X$4,'來源明細'!$E$2:$E$1401,"外案")</f>
        <v/>
      </c>
    </row>
    <row r="23">
      <c r="A23" t="inlineStr">
        <is>
          <t>外案</t>
        </is>
      </c>
      <c r="B23" t="n">
        <v>3</v>
      </c>
      <c r="D23" t="inlineStr">
        <is>
          <t>Cr.</t>
        </is>
      </c>
      <c r="E23" t="inlineStr">
        <is>
          <t>63810030</t>
        </is>
      </c>
      <c r="F23" t="inlineStr">
        <is>
          <t>工程費用轉在建工程</t>
        </is>
      </c>
      <c r="G23" t="inlineStr">
        <is>
          <t>上列反向</t>
        </is>
      </c>
      <c r="H23" s="3">
        <f>-H22</f>
        <v/>
      </c>
      <c r="I23" s="3">
        <f>-I22</f>
        <v/>
      </c>
      <c r="J23" s="3">
        <f>-J22</f>
        <v/>
      </c>
      <c r="K23" s="3">
        <f>-K22</f>
        <v/>
      </c>
      <c r="L23" s="3">
        <f>-L22</f>
        <v/>
      </c>
      <c r="M23" s="3">
        <f>-M22</f>
        <v/>
      </c>
      <c r="N23" s="3">
        <f>-N22</f>
        <v/>
      </c>
      <c r="O23" s="3">
        <f>-O22</f>
        <v/>
      </c>
      <c r="P23" s="3">
        <f>-P22</f>
        <v/>
      </c>
      <c r="Q23" s="3">
        <f>-Q22</f>
        <v/>
      </c>
      <c r="R23" s="3">
        <f>-R22</f>
        <v/>
      </c>
      <c r="S23" s="3">
        <f>-S22</f>
        <v/>
      </c>
      <c r="T23" s="3">
        <f>-T22</f>
        <v/>
      </c>
      <c r="U23" s="3">
        <f>-U22</f>
        <v/>
      </c>
      <c r="V23" s="3">
        <f>-V22</f>
        <v/>
      </c>
      <c r="W23" s="3">
        <f>-W22</f>
        <v/>
      </c>
      <c r="X23" s="3">
        <f>-X22</f>
        <v/>
      </c>
    </row>
    <row r="24">
      <c r="A24" s="4" t="n"/>
      <c r="B24" s="4" t="n"/>
      <c r="C24" s="4" t="n"/>
      <c r="D24" s="4" t="n"/>
      <c r="E24" s="4" t="n"/>
      <c r="F24" s="5" t="inlineStr">
        <is>
          <t>借貸差（應為0）</t>
        </is>
      </c>
      <c r="G24" s="4" t="n"/>
      <c r="H24" s="6">
        <f>ROUND(SUM(H22:H23),2)</f>
        <v/>
      </c>
      <c r="I24" s="6">
        <f>ROUND(SUM(I22:I23),2)</f>
        <v/>
      </c>
      <c r="J24" s="6">
        <f>ROUND(SUM(J22:J23),2)</f>
        <v/>
      </c>
      <c r="K24" s="6">
        <f>ROUND(SUM(K22:K23),2)</f>
        <v/>
      </c>
      <c r="L24" s="6">
        <f>ROUND(SUM(L22:L23),2)</f>
        <v/>
      </c>
      <c r="M24" s="6">
        <f>ROUND(SUM(M22:M23),2)</f>
        <v/>
      </c>
      <c r="N24" s="6">
        <f>ROUND(SUM(N22:N23),2)</f>
        <v/>
      </c>
      <c r="O24" s="6">
        <f>ROUND(SUM(O22:O23),2)</f>
        <v/>
      </c>
      <c r="P24" s="6">
        <f>ROUND(SUM(P22:P23),2)</f>
        <v/>
      </c>
      <c r="Q24" s="6">
        <f>ROUND(SUM(Q22:Q23),2)</f>
        <v/>
      </c>
      <c r="R24" s="6">
        <f>ROUND(SUM(R22:R23),2)</f>
        <v/>
      </c>
      <c r="S24" s="6">
        <f>ROUND(SUM(S22:S23),2)</f>
        <v/>
      </c>
      <c r="T24" s="6">
        <f>ROUND(SUM(T22:T23),2)</f>
        <v/>
      </c>
      <c r="U24" s="6">
        <f>ROUND(SUM(U22:U23),2)</f>
        <v/>
      </c>
      <c r="V24" s="6">
        <f>ROUND(SUM(V22:V23),2)</f>
        <v/>
      </c>
      <c r="W24" s="6">
        <f>ROUND(SUM(W22:W23),2)</f>
        <v/>
      </c>
      <c r="X24" s="6">
        <f>ROUND(SUM(X22:X23),2)</f>
        <v/>
      </c>
    </row>
    <row r="26">
      <c r="A26" t="inlineStr">
        <is>
          <t>外案</t>
        </is>
      </c>
      <c r="B26" t="n">
        <v>4</v>
      </c>
      <c r="C26" t="inlineStr">
        <is>
          <t>BIM完工百分比損益認列</t>
        </is>
      </c>
      <c r="D26" t="inlineStr">
        <is>
          <t>Dr.</t>
        </is>
      </c>
      <c r="E26" t="inlineStr">
        <is>
          <t>55110000</t>
        </is>
      </c>
      <c r="F26" t="inlineStr">
        <is>
          <t>承攬工程成本</t>
        </is>
      </c>
      <c r="G26" t="inlineStr">
        <is>
          <t>A0 在建工程</t>
        </is>
      </c>
      <c r="H26" s="3">
        <f>SUMIFS('來源明細'!$F$2:$F$1401,'來源明細'!$A$2:$A$1401,H$4,'來源明細'!$E$2:$E$1401,"外案")</f>
        <v/>
      </c>
      <c r="I26" s="3">
        <f>SUMIFS('來源明細'!$F$2:$F$1401,'來源明細'!$A$2:$A$1401,I$4,'來源明細'!$E$2:$E$1401,"外案")</f>
        <v/>
      </c>
      <c r="J26" s="3">
        <f>SUMIFS('來源明細'!$F$2:$F$1401,'來源明細'!$A$2:$A$1401,J$4,'來源明細'!$E$2:$E$1401,"外案")</f>
        <v/>
      </c>
      <c r="K26" s="3">
        <f>SUMIFS('來源明細'!$F$2:$F$1401,'來源明細'!$A$2:$A$1401,K$4,'來源明細'!$E$2:$E$1401,"外案")</f>
        <v/>
      </c>
      <c r="L26" s="3">
        <f>SUMIFS('來源明細'!$F$2:$F$1401,'來源明細'!$A$2:$A$1401,L$4,'來源明細'!$E$2:$E$1401,"外案")</f>
        <v/>
      </c>
      <c r="M26" s="3">
        <f>SUMIFS('來源明細'!$F$2:$F$1401,'來源明細'!$A$2:$A$1401,M$4,'來源明細'!$E$2:$E$1401,"外案")</f>
        <v/>
      </c>
      <c r="N26" s="3">
        <f>SUMIFS('來源明細'!$F$2:$F$1401,'來源明細'!$A$2:$A$1401,N$4,'來源明細'!$E$2:$E$1401,"外案")</f>
        <v/>
      </c>
      <c r="O26" s="3">
        <f>SUMIFS('來源明細'!$F$2:$F$1401,'來源明細'!$A$2:$A$1401,O$4,'來源明細'!$E$2:$E$1401,"外案")</f>
        <v/>
      </c>
      <c r="P26" s="3">
        <f>SUMIFS('來源明細'!$F$2:$F$1401,'來源明細'!$A$2:$A$1401,P$4,'來源明細'!$E$2:$E$1401,"外案")</f>
        <v/>
      </c>
      <c r="Q26" s="3">
        <f>SUMIFS('來源明細'!$F$2:$F$1401,'來源明細'!$A$2:$A$1401,Q$4,'來源明細'!$E$2:$E$1401,"外案")</f>
        <v/>
      </c>
      <c r="R26" s="3">
        <f>SUMIFS('來源明細'!$F$2:$F$1401,'來源明細'!$A$2:$A$1401,R$4,'來源明細'!$E$2:$E$1401,"外案")</f>
        <v/>
      </c>
      <c r="S26" s="3">
        <f>SUMIFS('來源明細'!$F$2:$F$1401,'來源明細'!$A$2:$A$1401,S$4,'來源明細'!$E$2:$E$1401,"外案")</f>
        <v/>
      </c>
      <c r="T26" s="3">
        <f>SUMIFS('來源明細'!$F$2:$F$1401,'來源明細'!$A$2:$A$1401,T$4,'來源明細'!$E$2:$E$1401,"外案")</f>
        <v/>
      </c>
      <c r="U26" s="3">
        <f>SUMIFS('來源明細'!$F$2:$F$1401,'來源明細'!$A$2:$A$1401,U$4,'來源明細'!$E$2:$E$1401,"外案")</f>
        <v/>
      </c>
      <c r="V26" s="3">
        <f>SUMIFS('來源明細'!$F$2:$F$1401,'來源明細'!$A$2:$A$1401,V$4,'來源明細'!$E$2:$E$1401,"外案")</f>
        <v/>
      </c>
      <c r="W26" s="3">
        <f>SUMIFS('來源明細'!$F$2:$F$1401,'來源明細'!$A$2:$A$1401,W$4,'來源明細'!$E$2:$E$1401,"外案")</f>
        <v/>
      </c>
      <c r="X26" s="3">
        <f>SUMIFS('來源明細'!$F$2:$F$1401,'來源明細'!$A$2:$A$1401,X$4,'來源明細'!$E$2:$E$1401,"外案")</f>
        <v/>
      </c>
    </row>
    <row r="27">
      <c r="A27" t="inlineStr">
        <is>
          <t>外案</t>
        </is>
      </c>
      <c r="B27" t="n">
        <v>4</v>
      </c>
      <c r="D27" t="inlineStr">
        <is>
          <t>Dr.</t>
        </is>
      </c>
      <c r="E27" t="inlineStr">
        <is>
          <t>12470000</t>
        </is>
      </c>
      <c r="F27" t="inlineStr">
        <is>
          <t>在建損益-承攬案</t>
        </is>
      </c>
      <c r="G27" t="inlineStr">
        <is>
          <t>A0 在建損益</t>
        </is>
      </c>
      <c r="H27" s="3">
        <f>SUMIFS('來源明細'!$G$2:$G$1401,'來源明細'!$A$2:$A$1401,H$4,'來源明細'!$E$2:$E$1401,"外案")</f>
        <v/>
      </c>
      <c r="I27" s="3">
        <f>SUMIFS('來源明細'!$G$2:$G$1401,'來源明細'!$A$2:$A$1401,I$4,'來源明細'!$E$2:$E$1401,"外案")</f>
        <v/>
      </c>
      <c r="J27" s="3">
        <f>SUMIFS('來源明細'!$G$2:$G$1401,'來源明細'!$A$2:$A$1401,J$4,'來源明細'!$E$2:$E$1401,"外案")</f>
        <v/>
      </c>
      <c r="K27" s="3">
        <f>SUMIFS('來源明細'!$G$2:$G$1401,'來源明細'!$A$2:$A$1401,K$4,'來源明細'!$E$2:$E$1401,"外案")</f>
        <v/>
      </c>
      <c r="L27" s="3">
        <f>SUMIFS('來源明細'!$G$2:$G$1401,'來源明細'!$A$2:$A$1401,L$4,'來源明細'!$E$2:$E$1401,"外案")</f>
        <v/>
      </c>
      <c r="M27" s="3">
        <f>SUMIFS('來源明細'!$G$2:$G$1401,'來源明細'!$A$2:$A$1401,M$4,'來源明細'!$E$2:$E$1401,"外案")</f>
        <v/>
      </c>
      <c r="N27" s="3">
        <f>SUMIFS('來源明細'!$G$2:$G$1401,'來源明細'!$A$2:$A$1401,N$4,'來源明細'!$E$2:$E$1401,"外案")</f>
        <v/>
      </c>
      <c r="O27" s="3">
        <f>SUMIFS('來源明細'!$G$2:$G$1401,'來源明細'!$A$2:$A$1401,O$4,'來源明細'!$E$2:$E$1401,"外案")</f>
        <v/>
      </c>
      <c r="P27" s="3">
        <f>SUMIFS('來源明細'!$G$2:$G$1401,'來源明細'!$A$2:$A$1401,P$4,'來源明細'!$E$2:$E$1401,"外案")</f>
        <v/>
      </c>
      <c r="Q27" s="3">
        <f>SUMIFS('來源明細'!$G$2:$G$1401,'來源明細'!$A$2:$A$1401,Q$4,'來源明細'!$E$2:$E$1401,"外案")</f>
        <v/>
      </c>
      <c r="R27" s="3">
        <f>SUMIFS('來源明細'!$G$2:$G$1401,'來源明細'!$A$2:$A$1401,R$4,'來源明細'!$E$2:$E$1401,"外案")</f>
        <v/>
      </c>
      <c r="S27" s="3">
        <f>SUMIFS('來源明細'!$G$2:$G$1401,'來源明細'!$A$2:$A$1401,S$4,'來源明細'!$E$2:$E$1401,"外案")</f>
        <v/>
      </c>
      <c r="T27" s="3">
        <f>SUMIFS('來源明細'!$G$2:$G$1401,'來源明細'!$A$2:$A$1401,T$4,'來源明細'!$E$2:$E$1401,"外案")</f>
        <v/>
      </c>
      <c r="U27" s="3">
        <f>SUMIFS('來源明細'!$G$2:$G$1401,'來源明細'!$A$2:$A$1401,U$4,'來源明細'!$E$2:$E$1401,"外案")</f>
        <v/>
      </c>
      <c r="V27" s="3">
        <f>SUMIFS('來源明細'!$G$2:$G$1401,'來源明細'!$A$2:$A$1401,V$4,'來源明細'!$E$2:$E$1401,"外案")</f>
        <v/>
      </c>
      <c r="W27" s="3">
        <f>SUMIFS('來源明細'!$G$2:$G$1401,'來源明細'!$A$2:$A$1401,W$4,'來源明細'!$E$2:$E$1401,"外案")</f>
        <v/>
      </c>
      <c r="X27" s="3">
        <f>SUMIFS('來源明細'!$G$2:$G$1401,'來源明細'!$A$2:$A$1401,X$4,'來源明細'!$E$2:$E$1401,"外案")</f>
        <v/>
      </c>
    </row>
    <row r="28">
      <c r="A28" t="inlineStr">
        <is>
          <t>外案</t>
        </is>
      </c>
      <c r="B28" t="n">
        <v>4</v>
      </c>
      <c r="D28" t="inlineStr">
        <is>
          <t>Cr.</t>
        </is>
      </c>
      <c r="E28" t="inlineStr">
        <is>
          <t>45110000</t>
        </is>
      </c>
      <c r="F28" t="inlineStr">
        <is>
          <t>承攬工程收入</t>
        </is>
      </c>
      <c r="G28" t="inlineStr">
        <is>
          <t>A0 收入Total</t>
        </is>
      </c>
      <c r="H28" s="3">
        <f>-SUMIFS('來源明細'!$H$2:$H$1401,'來源明細'!$A$2:$A$1401,H$4,'來源明細'!$E$2:$E$1401,"外案")</f>
        <v/>
      </c>
      <c r="I28" s="3">
        <f>-SUMIFS('來源明細'!$H$2:$H$1401,'來源明細'!$A$2:$A$1401,I$4,'來源明細'!$E$2:$E$1401,"外案")</f>
        <v/>
      </c>
      <c r="J28" s="3">
        <f>-SUMIFS('來源明細'!$H$2:$H$1401,'來源明細'!$A$2:$A$1401,J$4,'來源明細'!$E$2:$E$1401,"外案")</f>
        <v/>
      </c>
      <c r="K28" s="3">
        <f>-SUMIFS('來源明細'!$H$2:$H$1401,'來源明細'!$A$2:$A$1401,K$4,'來源明細'!$E$2:$E$1401,"外案")</f>
        <v/>
      </c>
      <c r="L28" s="3">
        <f>-SUMIFS('來源明細'!$H$2:$H$1401,'來源明細'!$A$2:$A$1401,L$4,'來源明細'!$E$2:$E$1401,"外案")</f>
        <v/>
      </c>
      <c r="M28" s="3">
        <f>-SUMIFS('來源明細'!$H$2:$H$1401,'來源明細'!$A$2:$A$1401,M$4,'來源明細'!$E$2:$E$1401,"外案")</f>
        <v/>
      </c>
      <c r="N28" s="3">
        <f>-SUMIFS('來源明細'!$H$2:$H$1401,'來源明細'!$A$2:$A$1401,N$4,'來源明細'!$E$2:$E$1401,"外案")</f>
        <v/>
      </c>
      <c r="O28" s="3">
        <f>-SUMIFS('來源明細'!$H$2:$H$1401,'來源明細'!$A$2:$A$1401,O$4,'來源明細'!$E$2:$E$1401,"外案")</f>
        <v/>
      </c>
      <c r="P28" s="3">
        <f>-SUMIFS('來源明細'!$H$2:$H$1401,'來源明細'!$A$2:$A$1401,P$4,'來源明細'!$E$2:$E$1401,"外案")</f>
        <v/>
      </c>
      <c r="Q28" s="3">
        <f>-SUMIFS('來源明細'!$H$2:$H$1401,'來源明細'!$A$2:$A$1401,Q$4,'來源明細'!$E$2:$E$1401,"外案")</f>
        <v/>
      </c>
      <c r="R28" s="3">
        <f>-SUMIFS('來源明細'!$H$2:$H$1401,'來源明細'!$A$2:$A$1401,R$4,'來源明細'!$E$2:$E$1401,"外案")</f>
        <v/>
      </c>
      <c r="S28" s="3">
        <f>-SUMIFS('來源明細'!$H$2:$H$1401,'來源明細'!$A$2:$A$1401,S$4,'來源明細'!$E$2:$E$1401,"外案")</f>
        <v/>
      </c>
      <c r="T28" s="3">
        <f>-SUMIFS('來源明細'!$H$2:$H$1401,'來源明細'!$A$2:$A$1401,T$4,'來源明細'!$E$2:$E$1401,"外案")</f>
        <v/>
      </c>
      <c r="U28" s="3">
        <f>-SUMIFS('來源明細'!$H$2:$H$1401,'來源明細'!$A$2:$A$1401,U$4,'來源明細'!$E$2:$E$1401,"外案")</f>
        <v/>
      </c>
      <c r="V28" s="3">
        <f>-SUMIFS('來源明細'!$H$2:$H$1401,'來源明細'!$A$2:$A$1401,V$4,'來源明細'!$E$2:$E$1401,"外案")</f>
        <v/>
      </c>
      <c r="W28" s="3">
        <f>-SUMIFS('來源明細'!$H$2:$H$1401,'來源明細'!$A$2:$A$1401,W$4,'來源明細'!$E$2:$E$1401,"外案")</f>
        <v/>
      </c>
      <c r="X28" s="3">
        <f>-SUMIFS('來源明細'!$H$2:$H$1401,'來源明細'!$A$2:$A$1401,X$4,'來源明細'!$E$2:$E$1401,"外案")</f>
        <v/>
      </c>
    </row>
    <row r="29">
      <c r="A29" s="4" t="n"/>
      <c r="B29" s="4" t="n"/>
      <c r="C29" s="4" t="n"/>
      <c r="D29" s="4" t="n"/>
      <c r="E29" s="4" t="n"/>
      <c r="F29" s="5" t="inlineStr">
        <is>
          <t>借貸差（應為0）</t>
        </is>
      </c>
      <c r="G29" s="4" t="n"/>
      <c r="H29" s="6">
        <f>ROUND(SUM(H26:H28),2)</f>
        <v/>
      </c>
      <c r="I29" s="6">
        <f>ROUND(SUM(I26:I28),2)</f>
        <v/>
      </c>
      <c r="J29" s="6">
        <f>ROUND(SUM(J26:J28),2)</f>
        <v/>
      </c>
      <c r="K29" s="6">
        <f>ROUND(SUM(K26:K28),2)</f>
        <v/>
      </c>
      <c r="L29" s="6">
        <f>ROUND(SUM(L26:L28),2)</f>
        <v/>
      </c>
      <c r="M29" s="6">
        <f>ROUND(SUM(M26:M28),2)</f>
        <v/>
      </c>
      <c r="N29" s="6">
        <f>ROUND(SUM(N26:N28),2)</f>
        <v/>
      </c>
      <c r="O29" s="6">
        <f>ROUND(SUM(O26:O28),2)</f>
        <v/>
      </c>
      <c r="P29" s="6">
        <f>ROUND(SUM(P26:P28),2)</f>
        <v/>
      </c>
      <c r="Q29" s="6">
        <f>ROUND(SUM(Q26:Q28),2)</f>
        <v/>
      </c>
      <c r="R29" s="6">
        <f>ROUND(SUM(R26:R28),2)</f>
        <v/>
      </c>
      <c r="S29" s="6">
        <f>ROUND(SUM(S26:S28),2)</f>
        <v/>
      </c>
      <c r="T29" s="6">
        <f>ROUND(SUM(T26:T28),2)</f>
        <v/>
      </c>
      <c r="U29" s="6">
        <f>ROUND(SUM(U26:U28),2)</f>
        <v/>
      </c>
      <c r="V29" s="6">
        <f>ROUND(SUM(V26:V28),2)</f>
        <v/>
      </c>
      <c r="W29" s="6">
        <f>ROUND(SUM(W26:W28),2)</f>
        <v/>
      </c>
      <c r="X29" s="6">
        <f>ROUND(SUM(X26:X28),2)</f>
        <v/>
      </c>
    </row>
    <row r="31">
      <c r="A31" t="inlineStr">
        <is>
          <t>外案</t>
        </is>
      </c>
      <c r="B31" t="n">
        <v>5</v>
      </c>
      <c r="C31" t="inlineStr">
        <is>
          <t>BIM開立業主發票</t>
        </is>
      </c>
      <c r="D31" t="inlineStr">
        <is>
          <t>Dr.</t>
        </is>
      </c>
      <c r="E31" t="inlineStr">
        <is>
          <t>11430000</t>
        </is>
      </c>
      <c r="F31" t="inlineStr">
        <is>
          <t>應收帳款</t>
        </is>
      </c>
      <c r="G31" t="inlineStr">
        <is>
          <t>預收＋銷項</t>
        </is>
      </c>
      <c r="H31" s="3">
        <f>-(H32+H33)</f>
        <v/>
      </c>
      <c r="I31" s="3">
        <f>-(I32+I33)</f>
        <v/>
      </c>
      <c r="J31" s="3">
        <f>-(J32+J33)</f>
        <v/>
      </c>
      <c r="K31" s="3">
        <f>-(K32+K33)</f>
        <v/>
      </c>
      <c r="L31" s="3">
        <f>-(L32+L33)</f>
        <v/>
      </c>
      <c r="M31" s="3">
        <f>-(M32+M33)</f>
        <v/>
      </c>
      <c r="N31" s="3">
        <f>-(N32+N33)</f>
        <v/>
      </c>
      <c r="O31" s="3">
        <f>-(O32+O33)</f>
        <v/>
      </c>
      <c r="P31" s="3">
        <f>-(P32+P33)</f>
        <v/>
      </c>
      <c r="Q31" s="3">
        <f>-(Q32+Q33)</f>
        <v/>
      </c>
      <c r="R31" s="3">
        <f>-(R32+R33)</f>
        <v/>
      </c>
      <c r="S31" s="3">
        <f>-(S32+S33)</f>
        <v/>
      </c>
      <c r="T31" s="3">
        <f>-(T32+T33)</f>
        <v/>
      </c>
      <c r="U31" s="3">
        <f>-(U32+U33)</f>
        <v/>
      </c>
      <c r="V31" s="3">
        <f>-(V32+V33)</f>
        <v/>
      </c>
      <c r="W31" s="3">
        <f>-(W32+W33)</f>
        <v/>
      </c>
      <c r="X31" s="3">
        <f>-(X32+X33)</f>
        <v/>
      </c>
    </row>
    <row r="32">
      <c r="A32" t="inlineStr">
        <is>
          <t>外案</t>
        </is>
      </c>
      <c r="B32" t="n">
        <v>5</v>
      </c>
      <c r="D32" t="inlineStr">
        <is>
          <t>Cr.</t>
        </is>
      </c>
      <c r="E32" t="inlineStr">
        <is>
          <t>22640000</t>
        </is>
      </c>
      <c r="F32" t="inlineStr">
        <is>
          <t>預收工程款</t>
        </is>
      </c>
      <c r="G32" t="inlineStr">
        <is>
          <t>B0 預收開票</t>
        </is>
      </c>
      <c r="H32" s="3">
        <f>-SUMIFS('來源明細'!$J$2:$J$1401,'來源明細'!$A$2:$A$1401,H$4,'來源明細'!$E$2:$E$1401,"外案")</f>
        <v/>
      </c>
      <c r="I32" s="3">
        <f>-SUMIFS('來源明細'!$J$2:$J$1401,'來源明細'!$A$2:$A$1401,I$4,'來源明細'!$E$2:$E$1401,"外案")</f>
        <v/>
      </c>
      <c r="J32" s="3">
        <f>-SUMIFS('來源明細'!$J$2:$J$1401,'來源明細'!$A$2:$A$1401,J$4,'來源明細'!$E$2:$E$1401,"外案")</f>
        <v/>
      </c>
      <c r="K32" s="3">
        <f>-SUMIFS('來源明細'!$J$2:$J$1401,'來源明細'!$A$2:$A$1401,K$4,'來源明細'!$E$2:$E$1401,"外案")</f>
        <v/>
      </c>
      <c r="L32" s="3">
        <f>-SUMIFS('來源明細'!$J$2:$J$1401,'來源明細'!$A$2:$A$1401,L$4,'來源明細'!$E$2:$E$1401,"外案")</f>
        <v/>
      </c>
      <c r="M32" s="3">
        <f>-SUMIFS('來源明細'!$J$2:$J$1401,'來源明細'!$A$2:$A$1401,M$4,'來源明細'!$E$2:$E$1401,"外案")</f>
        <v/>
      </c>
      <c r="N32" s="3">
        <f>-SUMIFS('來源明細'!$J$2:$J$1401,'來源明細'!$A$2:$A$1401,N$4,'來源明細'!$E$2:$E$1401,"外案")</f>
        <v/>
      </c>
      <c r="O32" s="3">
        <f>-SUMIFS('來源明細'!$J$2:$J$1401,'來源明細'!$A$2:$A$1401,O$4,'來源明細'!$E$2:$E$1401,"外案")</f>
        <v/>
      </c>
      <c r="P32" s="3">
        <f>-SUMIFS('來源明細'!$J$2:$J$1401,'來源明細'!$A$2:$A$1401,P$4,'來源明細'!$E$2:$E$1401,"外案")</f>
        <v/>
      </c>
      <c r="Q32" s="3">
        <f>-SUMIFS('來源明細'!$J$2:$J$1401,'來源明細'!$A$2:$A$1401,Q$4,'來源明細'!$E$2:$E$1401,"外案")</f>
        <v/>
      </c>
      <c r="R32" s="3">
        <f>-SUMIFS('來源明細'!$J$2:$J$1401,'來源明細'!$A$2:$A$1401,R$4,'來源明細'!$E$2:$E$1401,"外案")</f>
        <v/>
      </c>
      <c r="S32" s="3">
        <f>-SUMIFS('來源明細'!$J$2:$J$1401,'來源明細'!$A$2:$A$1401,S$4,'來源明細'!$E$2:$E$1401,"外案")</f>
        <v/>
      </c>
      <c r="T32" s="3">
        <f>-SUMIFS('來源明細'!$J$2:$J$1401,'來源明細'!$A$2:$A$1401,T$4,'來源明細'!$E$2:$E$1401,"外案")</f>
        <v/>
      </c>
      <c r="U32" s="3">
        <f>-SUMIFS('來源明細'!$J$2:$J$1401,'來源明細'!$A$2:$A$1401,U$4,'來源明細'!$E$2:$E$1401,"外案")</f>
        <v/>
      </c>
      <c r="V32" s="3">
        <f>-SUMIFS('來源明細'!$J$2:$J$1401,'來源明細'!$A$2:$A$1401,V$4,'來源明細'!$E$2:$E$1401,"外案")</f>
        <v/>
      </c>
      <c r="W32" s="3">
        <f>-SUMIFS('來源明細'!$J$2:$J$1401,'來源明細'!$A$2:$A$1401,W$4,'來源明細'!$E$2:$E$1401,"外案")</f>
        <v/>
      </c>
      <c r="X32" s="3">
        <f>-SUMIFS('來源明細'!$J$2:$J$1401,'來源明細'!$A$2:$A$1401,X$4,'來源明細'!$E$2:$E$1401,"外案")</f>
        <v/>
      </c>
    </row>
    <row r="33">
      <c r="A33" t="inlineStr">
        <is>
          <t>外案</t>
        </is>
      </c>
      <c r="B33" t="n">
        <v>5</v>
      </c>
      <c r="D33" t="inlineStr">
        <is>
          <t>Cr.</t>
        </is>
      </c>
      <c r="E33" t="inlineStr">
        <is>
          <t>22140000</t>
        </is>
      </c>
      <c r="F33" t="inlineStr">
        <is>
          <t>銷項稅額</t>
        </is>
      </c>
      <c r="G33" t="inlineStr">
        <is>
          <t>預收×5%(四捨五入)</t>
        </is>
      </c>
      <c r="H33" s="3">
        <f>-ROUND(-H32*0.05,0)</f>
        <v/>
      </c>
      <c r="I33" s="3">
        <f>-ROUND(-I32*0.05,0)</f>
        <v/>
      </c>
      <c r="J33" s="3">
        <f>-ROUND(-J32*0.05,0)</f>
        <v/>
      </c>
      <c r="K33" s="3">
        <f>-ROUND(-K32*0.05,0)</f>
        <v/>
      </c>
      <c r="L33" s="3">
        <f>-ROUND(-L32*0.05,0)</f>
        <v/>
      </c>
      <c r="M33" s="3">
        <f>-ROUND(-M32*0.05,0)</f>
        <v/>
      </c>
      <c r="N33" s="3">
        <f>-ROUND(-N32*0.05,0)</f>
        <v/>
      </c>
      <c r="O33" s="3">
        <f>-ROUND(-O32*0.05,0)</f>
        <v/>
      </c>
      <c r="P33" s="3">
        <f>-ROUND(-P32*0.05,0)</f>
        <v/>
      </c>
      <c r="Q33" s="3">
        <f>-ROUND(-Q32*0.05,0)</f>
        <v/>
      </c>
      <c r="R33" s="3">
        <f>-ROUND(-R32*0.05,0)</f>
        <v/>
      </c>
      <c r="S33" s="3">
        <f>-ROUND(-S32*0.05,0)</f>
        <v/>
      </c>
      <c r="T33" s="3">
        <f>-ROUND(-T32*0.05,0)</f>
        <v/>
      </c>
      <c r="U33" s="3">
        <f>-ROUND(-U32*0.05,0)</f>
        <v/>
      </c>
      <c r="V33" s="3">
        <f>-ROUND(-V32*0.05,0)</f>
        <v/>
      </c>
      <c r="W33" s="3">
        <f>-ROUND(-W32*0.05,0)</f>
        <v/>
      </c>
      <c r="X33" s="3">
        <f>-ROUND(-X32*0.05,0)</f>
        <v/>
      </c>
    </row>
    <row r="34">
      <c r="A34" s="4" t="n"/>
      <c r="B34" s="4" t="n"/>
      <c r="C34" s="4" t="n"/>
      <c r="D34" s="4" t="n"/>
      <c r="E34" s="4" t="n"/>
      <c r="F34" s="5" t="inlineStr">
        <is>
          <t>借貸差（應為0）</t>
        </is>
      </c>
      <c r="G34" s="4" t="n"/>
      <c r="H34" s="6">
        <f>ROUND(SUM(H31:H33),2)</f>
        <v/>
      </c>
      <c r="I34" s="6">
        <f>ROUND(SUM(I31:I33),2)</f>
        <v/>
      </c>
      <c r="J34" s="6">
        <f>ROUND(SUM(J31:J33),2)</f>
        <v/>
      </c>
      <c r="K34" s="6">
        <f>ROUND(SUM(K31:K33),2)</f>
        <v/>
      </c>
      <c r="L34" s="6">
        <f>ROUND(SUM(L31:L33),2)</f>
        <v/>
      </c>
      <c r="M34" s="6">
        <f>ROUND(SUM(M31:M33),2)</f>
        <v/>
      </c>
      <c r="N34" s="6">
        <f>ROUND(SUM(N31:N33),2)</f>
        <v/>
      </c>
      <c r="O34" s="6">
        <f>ROUND(SUM(O31:O33),2)</f>
        <v/>
      </c>
      <c r="P34" s="6">
        <f>ROUND(SUM(P31:P33),2)</f>
        <v/>
      </c>
      <c r="Q34" s="6">
        <f>ROUND(SUM(Q31:Q33),2)</f>
        <v/>
      </c>
      <c r="R34" s="6">
        <f>ROUND(SUM(R31:R33),2)</f>
        <v/>
      </c>
      <c r="S34" s="6">
        <f>ROUND(SUM(S31:S33),2)</f>
        <v/>
      </c>
      <c r="T34" s="6">
        <f>ROUND(SUM(T31:T33),2)</f>
        <v/>
      </c>
      <c r="U34" s="6">
        <f>ROUND(SUM(U31:U33),2)</f>
        <v/>
      </c>
      <c r="V34" s="6">
        <f>ROUND(SUM(V31:V33),2)</f>
        <v/>
      </c>
      <c r="W34" s="6">
        <f>ROUND(SUM(W31:W33),2)</f>
        <v/>
      </c>
      <c r="X34" s="6">
        <f>ROUND(SUM(X31:X33),2)</f>
        <v/>
      </c>
    </row>
    <row r="36">
      <c r="A36" t="inlineStr">
        <is>
          <t>外案</t>
        </is>
      </c>
      <c r="B36" t="n">
        <v>6</v>
      </c>
      <c r="C36" t="inlineStr">
        <is>
          <t>毛損認列負債準備</t>
        </is>
      </c>
      <c r="D36" t="inlineStr">
        <is>
          <t>Dr.</t>
        </is>
      </c>
      <c r="E36" t="inlineStr">
        <is>
          <t>55110000</t>
        </is>
      </c>
      <c r="F36" t="inlineStr">
        <is>
          <t>承攬工程成本</t>
        </is>
      </c>
      <c r="G36" t="inlineStr">
        <is>
          <t>A0 負債準備反向</t>
        </is>
      </c>
      <c r="H36" s="3">
        <f>-SUMIFS('來源明細'!$I$2:$I$1401,'來源明細'!$A$2:$A$1401,H$4,'來源明細'!$E$2:$E$1401,"外案")</f>
        <v/>
      </c>
      <c r="I36" s="3">
        <f>-SUMIFS('來源明細'!$I$2:$I$1401,'來源明細'!$A$2:$A$1401,I$4,'來源明細'!$E$2:$E$1401,"外案")</f>
        <v/>
      </c>
      <c r="J36" s="3">
        <f>-SUMIFS('來源明細'!$I$2:$I$1401,'來源明細'!$A$2:$A$1401,J$4,'來源明細'!$E$2:$E$1401,"外案")</f>
        <v/>
      </c>
      <c r="K36" s="3">
        <f>-SUMIFS('來源明細'!$I$2:$I$1401,'來源明細'!$A$2:$A$1401,K$4,'來源明細'!$E$2:$E$1401,"外案")</f>
        <v/>
      </c>
      <c r="L36" s="3">
        <f>-SUMIFS('來源明細'!$I$2:$I$1401,'來源明細'!$A$2:$A$1401,L$4,'來源明細'!$E$2:$E$1401,"外案")</f>
        <v/>
      </c>
      <c r="M36" s="3">
        <f>-SUMIFS('來源明細'!$I$2:$I$1401,'來源明細'!$A$2:$A$1401,M$4,'來源明細'!$E$2:$E$1401,"外案")</f>
        <v/>
      </c>
      <c r="N36" s="3">
        <f>-SUMIFS('來源明細'!$I$2:$I$1401,'來源明細'!$A$2:$A$1401,N$4,'來源明細'!$E$2:$E$1401,"外案")</f>
        <v/>
      </c>
      <c r="O36" s="3">
        <f>-SUMIFS('來源明細'!$I$2:$I$1401,'來源明細'!$A$2:$A$1401,O$4,'來源明細'!$E$2:$E$1401,"外案")</f>
        <v/>
      </c>
      <c r="P36" s="3">
        <f>-SUMIFS('來源明細'!$I$2:$I$1401,'來源明細'!$A$2:$A$1401,P$4,'來源明細'!$E$2:$E$1401,"外案")</f>
        <v/>
      </c>
      <c r="Q36" s="3">
        <f>-SUMIFS('來源明細'!$I$2:$I$1401,'來源明細'!$A$2:$A$1401,Q$4,'來源明細'!$E$2:$E$1401,"外案")</f>
        <v/>
      </c>
      <c r="R36" s="3">
        <f>-SUMIFS('來源明細'!$I$2:$I$1401,'來源明細'!$A$2:$A$1401,R$4,'來源明細'!$E$2:$E$1401,"外案")</f>
        <v/>
      </c>
      <c r="S36" s="3">
        <f>-SUMIFS('來源明細'!$I$2:$I$1401,'來源明細'!$A$2:$A$1401,S$4,'來源明細'!$E$2:$E$1401,"外案")</f>
        <v/>
      </c>
      <c r="T36" s="3">
        <f>-SUMIFS('來源明細'!$I$2:$I$1401,'來源明細'!$A$2:$A$1401,T$4,'來源明細'!$E$2:$E$1401,"外案")</f>
        <v/>
      </c>
      <c r="U36" s="3">
        <f>-SUMIFS('來源明細'!$I$2:$I$1401,'來源明細'!$A$2:$A$1401,U$4,'來源明細'!$E$2:$E$1401,"外案")</f>
        <v/>
      </c>
      <c r="V36" s="3">
        <f>-SUMIFS('來源明細'!$I$2:$I$1401,'來源明細'!$A$2:$A$1401,V$4,'來源明細'!$E$2:$E$1401,"外案")</f>
        <v/>
      </c>
      <c r="W36" s="3">
        <f>-SUMIFS('來源明細'!$I$2:$I$1401,'來源明細'!$A$2:$A$1401,W$4,'來源明細'!$E$2:$E$1401,"外案")</f>
        <v/>
      </c>
      <c r="X36" s="3">
        <f>-SUMIFS('來源明細'!$I$2:$I$1401,'來源明細'!$A$2:$A$1401,X$4,'來源明細'!$E$2:$E$1401,"外案")</f>
        <v/>
      </c>
    </row>
    <row r="37">
      <c r="A37" t="inlineStr">
        <is>
          <t>外案</t>
        </is>
      </c>
      <c r="B37" t="n">
        <v>6</v>
      </c>
      <c r="D37" t="inlineStr">
        <is>
          <t>Cr.</t>
        </is>
      </c>
      <c r="F37" t="inlineStr">
        <is>
          <t>負債準備-在建損失</t>
        </is>
      </c>
      <c r="G37" t="inlineStr">
        <is>
          <t>A0 負債準備</t>
        </is>
      </c>
      <c r="H37" s="3">
        <f>-H36</f>
        <v/>
      </c>
      <c r="I37" s="3">
        <f>-I36</f>
        <v/>
      </c>
      <c r="J37" s="3">
        <f>-J36</f>
        <v/>
      </c>
      <c r="K37" s="3">
        <f>-K36</f>
        <v/>
      </c>
      <c r="L37" s="3">
        <f>-L36</f>
        <v/>
      </c>
      <c r="M37" s="3">
        <f>-M36</f>
        <v/>
      </c>
      <c r="N37" s="3">
        <f>-N36</f>
        <v/>
      </c>
      <c r="O37" s="3">
        <f>-O36</f>
        <v/>
      </c>
      <c r="P37" s="3">
        <f>-P36</f>
        <v/>
      </c>
      <c r="Q37" s="3">
        <f>-Q36</f>
        <v/>
      </c>
      <c r="R37" s="3">
        <f>-R36</f>
        <v/>
      </c>
      <c r="S37" s="3">
        <f>-S36</f>
        <v/>
      </c>
      <c r="T37" s="3">
        <f>-T36</f>
        <v/>
      </c>
      <c r="U37" s="3">
        <f>-U36</f>
        <v/>
      </c>
      <c r="V37" s="3">
        <f>-V36</f>
        <v/>
      </c>
      <c r="W37" s="3">
        <f>-W36</f>
        <v/>
      </c>
      <c r="X37" s="3">
        <f>-X36</f>
        <v/>
      </c>
    </row>
    <row r="38">
      <c r="A38" s="4" t="n"/>
      <c r="B38" s="4" t="n"/>
      <c r="C38" s="4" t="n"/>
      <c r="D38" s="4" t="n"/>
      <c r="E38" s="4" t="n"/>
      <c r="F38" s="5" t="inlineStr">
        <is>
          <t>借貸差（應為0）</t>
        </is>
      </c>
      <c r="G38" s="4" t="n"/>
      <c r="H38" s="6">
        <f>ROUND(SUM(H36:H37),2)</f>
        <v/>
      </c>
      <c r="I38" s="6">
        <f>ROUND(SUM(I36:I37),2)</f>
        <v/>
      </c>
      <c r="J38" s="6">
        <f>ROUND(SUM(J36:J37),2)</f>
        <v/>
      </c>
      <c r="K38" s="6">
        <f>ROUND(SUM(K36:K37),2)</f>
        <v/>
      </c>
      <c r="L38" s="6">
        <f>ROUND(SUM(L36:L37),2)</f>
        <v/>
      </c>
      <c r="M38" s="6">
        <f>ROUND(SUM(M36:M37),2)</f>
        <v/>
      </c>
      <c r="N38" s="6">
        <f>ROUND(SUM(N36:N37),2)</f>
        <v/>
      </c>
      <c r="O38" s="6">
        <f>ROUND(SUM(O36:O37),2)</f>
        <v/>
      </c>
      <c r="P38" s="6">
        <f>ROUND(SUM(P36:P37),2)</f>
        <v/>
      </c>
      <c r="Q38" s="6">
        <f>ROUND(SUM(Q36:Q37),2)</f>
        <v/>
      </c>
      <c r="R38" s="6">
        <f>ROUND(SUM(R36:R37),2)</f>
        <v/>
      </c>
      <c r="S38" s="6">
        <f>ROUND(SUM(S36:S37),2)</f>
        <v/>
      </c>
      <c r="T38" s="6">
        <f>ROUND(SUM(T36:T37),2)</f>
        <v/>
      </c>
      <c r="U38" s="6">
        <f>ROUND(SUM(U36:U37),2)</f>
        <v/>
      </c>
      <c r="V38" s="6">
        <f>ROUND(SUM(V36:V37),2)</f>
        <v/>
      </c>
      <c r="W38" s="6">
        <f>ROUND(SUM(W36:W37),2)</f>
        <v/>
      </c>
      <c r="X38" s="6">
        <f>ROUND(SUM(X36:X37),2)</f>
        <v/>
      </c>
    </row>
    <row r="40">
      <c r="A40" t="inlineStr">
        <is>
          <t>雜項</t>
        </is>
      </c>
      <c r="B40" t="n">
        <v>2</v>
      </c>
      <c r="C40" t="inlineStr">
        <is>
          <t>BIM費用轉列成本</t>
        </is>
      </c>
      <c r="D40" t="inlineStr">
        <is>
          <t>Dr.</t>
        </is>
      </c>
      <c r="E40" t="inlineStr">
        <is>
          <t>55/56xxxxxx</t>
        </is>
      </c>
      <c r="F40" t="inlineStr">
        <is>
          <t>專案成本</t>
        </is>
      </c>
      <c r="G40" t="inlineStr">
        <is>
          <t>A0 在建工程欄(成本)</t>
        </is>
      </c>
      <c r="H40" s="3">
        <f>SUMIFS('來源明細'!$F$2:$F$1401,'來源明細'!$A$2:$A$1401,H$4,'來源明細'!$E$2:$E$1401,"雜項")</f>
        <v/>
      </c>
      <c r="I40" s="3">
        <f>SUMIFS('來源明細'!$F$2:$F$1401,'來源明細'!$A$2:$A$1401,I$4,'來源明細'!$E$2:$E$1401,"雜項")</f>
        <v/>
      </c>
      <c r="J40" s="3">
        <f>SUMIFS('來源明細'!$F$2:$F$1401,'來源明細'!$A$2:$A$1401,J$4,'來源明細'!$E$2:$E$1401,"雜項")</f>
        <v/>
      </c>
      <c r="K40" s="3">
        <f>SUMIFS('來源明細'!$F$2:$F$1401,'來源明細'!$A$2:$A$1401,K$4,'來源明細'!$E$2:$E$1401,"雜項")</f>
        <v/>
      </c>
      <c r="L40" s="3">
        <f>SUMIFS('來源明細'!$F$2:$F$1401,'來源明細'!$A$2:$A$1401,L$4,'來源明細'!$E$2:$E$1401,"雜項")</f>
        <v/>
      </c>
      <c r="M40" s="3">
        <f>SUMIFS('來源明細'!$F$2:$F$1401,'來源明細'!$A$2:$A$1401,M$4,'來源明細'!$E$2:$E$1401,"雜項")</f>
        <v/>
      </c>
      <c r="N40" s="3">
        <f>SUMIFS('來源明細'!$F$2:$F$1401,'來源明細'!$A$2:$A$1401,N$4,'來源明細'!$E$2:$E$1401,"雜項")</f>
        <v/>
      </c>
      <c r="O40" s="3">
        <f>SUMIFS('來源明細'!$F$2:$F$1401,'來源明細'!$A$2:$A$1401,O$4,'來源明細'!$E$2:$E$1401,"雜項")</f>
        <v/>
      </c>
      <c r="P40" s="3">
        <f>SUMIFS('來源明細'!$F$2:$F$1401,'來源明細'!$A$2:$A$1401,P$4,'來源明細'!$E$2:$E$1401,"雜項")</f>
        <v/>
      </c>
      <c r="Q40" s="3">
        <f>SUMIFS('來源明細'!$F$2:$F$1401,'來源明細'!$A$2:$A$1401,Q$4,'來源明細'!$E$2:$E$1401,"雜項")</f>
        <v/>
      </c>
      <c r="R40" s="3">
        <f>SUMIFS('來源明細'!$F$2:$F$1401,'來源明細'!$A$2:$A$1401,R$4,'來源明細'!$E$2:$E$1401,"雜項")</f>
        <v/>
      </c>
      <c r="S40" s="3">
        <f>SUMIFS('來源明細'!$F$2:$F$1401,'來源明細'!$A$2:$A$1401,S$4,'來源明細'!$E$2:$E$1401,"雜項")</f>
        <v/>
      </c>
      <c r="T40" s="3">
        <f>SUMIFS('來源明細'!$F$2:$F$1401,'來源明細'!$A$2:$A$1401,T$4,'來源明細'!$E$2:$E$1401,"雜項")</f>
        <v/>
      </c>
      <c r="U40" s="3">
        <f>SUMIFS('來源明細'!$F$2:$F$1401,'來源明細'!$A$2:$A$1401,U$4,'來源明細'!$E$2:$E$1401,"雜項")</f>
        <v/>
      </c>
      <c r="V40" s="3">
        <f>SUMIFS('來源明細'!$F$2:$F$1401,'來源明細'!$A$2:$A$1401,V$4,'來源明細'!$E$2:$E$1401,"雜項")</f>
        <v/>
      </c>
      <c r="W40" s="3">
        <f>SUMIFS('來源明細'!$F$2:$F$1401,'來源明細'!$A$2:$A$1401,W$4,'來源明細'!$E$2:$E$1401,"雜項")</f>
        <v/>
      </c>
      <c r="X40" s="3">
        <f>SUMIFS('來源明細'!$F$2:$F$1401,'來源明細'!$A$2:$A$1401,X$4,'來源明細'!$E$2:$E$1401,"雜項")</f>
        <v/>
      </c>
    </row>
    <row r="41">
      <c r="A41" t="inlineStr">
        <is>
          <t>雜項</t>
        </is>
      </c>
      <c r="B41" t="n">
        <v>2</v>
      </c>
      <c r="D41" t="inlineStr">
        <is>
          <t>Cr.</t>
        </is>
      </c>
      <c r="E41" t="inlineStr">
        <is>
          <t>62109999/62350099</t>
        </is>
      </c>
      <c r="F41" t="inlineStr">
        <is>
          <t>人事分攤／電腦out charge（合計，拆分無資料）</t>
        </is>
      </c>
      <c r="G41" t="inlineStr">
        <is>
          <t>上列反向</t>
        </is>
      </c>
      <c r="H41" s="3">
        <f>-H40</f>
        <v/>
      </c>
      <c r="I41" s="3">
        <f>-I40</f>
        <v/>
      </c>
      <c r="J41" s="3">
        <f>-J40</f>
        <v/>
      </c>
      <c r="K41" s="3">
        <f>-K40</f>
        <v/>
      </c>
      <c r="L41" s="3">
        <f>-L40</f>
        <v/>
      </c>
      <c r="M41" s="3">
        <f>-M40</f>
        <v/>
      </c>
      <c r="N41" s="3">
        <f>-N40</f>
        <v/>
      </c>
      <c r="O41" s="3">
        <f>-O40</f>
        <v/>
      </c>
      <c r="P41" s="3">
        <f>-P40</f>
        <v/>
      </c>
      <c r="Q41" s="3">
        <f>-Q40</f>
        <v/>
      </c>
      <c r="R41" s="3">
        <f>-R40</f>
        <v/>
      </c>
      <c r="S41" s="3">
        <f>-S40</f>
        <v/>
      </c>
      <c r="T41" s="3">
        <f>-T40</f>
        <v/>
      </c>
      <c r="U41" s="3">
        <f>-U40</f>
        <v/>
      </c>
      <c r="V41" s="3">
        <f>-V40</f>
        <v/>
      </c>
      <c r="W41" s="3">
        <f>-W40</f>
        <v/>
      </c>
      <c r="X41" s="3">
        <f>-X40</f>
        <v/>
      </c>
    </row>
    <row r="42">
      <c r="A42" s="4" t="n"/>
      <c r="B42" s="4" t="n"/>
      <c r="C42" s="4" t="n"/>
      <c r="D42" s="4" t="n"/>
      <c r="E42" s="4" t="n"/>
      <c r="F42" s="5" t="inlineStr">
        <is>
          <t>借貸差（應為0）</t>
        </is>
      </c>
      <c r="G42" s="4" t="n"/>
      <c r="H42" s="6">
        <f>ROUND(SUM(H40:H41),2)</f>
        <v/>
      </c>
      <c r="I42" s="6">
        <f>ROUND(SUM(I40:I41),2)</f>
        <v/>
      </c>
      <c r="J42" s="6">
        <f>ROUND(SUM(J40:J41),2)</f>
        <v/>
      </c>
      <c r="K42" s="6">
        <f>ROUND(SUM(K40:K41),2)</f>
        <v/>
      </c>
      <c r="L42" s="6">
        <f>ROUND(SUM(L40:L41),2)</f>
        <v/>
      </c>
      <c r="M42" s="6">
        <f>ROUND(SUM(M40:M41),2)</f>
        <v/>
      </c>
      <c r="N42" s="6">
        <f>ROUND(SUM(N40:N41),2)</f>
        <v/>
      </c>
      <c r="O42" s="6">
        <f>ROUND(SUM(O40:O41),2)</f>
        <v/>
      </c>
      <c r="P42" s="6">
        <f>ROUND(SUM(P40:P41),2)</f>
        <v/>
      </c>
      <c r="Q42" s="6">
        <f>ROUND(SUM(Q40:Q41),2)</f>
        <v/>
      </c>
      <c r="R42" s="6">
        <f>ROUND(SUM(R40:R41),2)</f>
        <v/>
      </c>
      <c r="S42" s="6">
        <f>ROUND(SUM(S40:S41),2)</f>
        <v/>
      </c>
      <c r="T42" s="6">
        <f>ROUND(SUM(T40:T41),2)</f>
        <v/>
      </c>
      <c r="U42" s="6">
        <f>ROUND(SUM(U40:U41),2)</f>
        <v/>
      </c>
      <c r="V42" s="6">
        <f>ROUND(SUM(V40:V41),2)</f>
        <v/>
      </c>
      <c r="W42" s="6">
        <f>ROUND(SUM(W40:W41),2)</f>
        <v/>
      </c>
      <c r="X42" s="6">
        <f>ROUND(SUM(X40:X41),2)</f>
        <v/>
      </c>
    </row>
    <row r="44">
      <c r="A44" t="inlineStr">
        <is>
          <t>雜項</t>
        </is>
      </c>
      <c r="B44" t="n">
        <v>5</v>
      </c>
      <c r="C44" t="inlineStr">
        <is>
          <t>BIM開立發票(內部計價)</t>
        </is>
      </c>
      <c r="D44" t="inlineStr">
        <is>
          <t>Dr.</t>
        </is>
      </c>
      <c r="E44" t="inlineStr">
        <is>
          <t>11430000</t>
        </is>
      </c>
      <c r="F44" t="inlineStr">
        <is>
          <t>公司內部往來-TO &amp; BIM</t>
        </is>
      </c>
      <c r="G44" t="inlineStr">
        <is>
          <t>B0 預收開票</t>
        </is>
      </c>
      <c r="H44" s="3">
        <f>SUMIFS('來源明細'!$J$2:$J$1401,'來源明細'!$A$2:$A$1401,H$4,'來源明細'!$E$2:$E$1401,"雜項")</f>
        <v/>
      </c>
      <c r="I44" s="3">
        <f>SUMIFS('來源明細'!$J$2:$J$1401,'來源明細'!$A$2:$A$1401,I$4,'來源明細'!$E$2:$E$1401,"雜項")</f>
        <v/>
      </c>
      <c r="J44" s="3">
        <f>SUMIFS('來源明細'!$J$2:$J$1401,'來源明細'!$A$2:$A$1401,J$4,'來源明細'!$E$2:$E$1401,"雜項")</f>
        <v/>
      </c>
      <c r="K44" s="3">
        <f>SUMIFS('來源明細'!$J$2:$J$1401,'來源明細'!$A$2:$A$1401,K$4,'來源明細'!$E$2:$E$1401,"雜項")</f>
        <v/>
      </c>
      <c r="L44" s="3">
        <f>SUMIFS('來源明細'!$J$2:$J$1401,'來源明細'!$A$2:$A$1401,L$4,'來源明細'!$E$2:$E$1401,"雜項")</f>
        <v/>
      </c>
      <c r="M44" s="3">
        <f>SUMIFS('來源明細'!$J$2:$J$1401,'來源明細'!$A$2:$A$1401,M$4,'來源明細'!$E$2:$E$1401,"雜項")</f>
        <v/>
      </c>
      <c r="N44" s="3">
        <f>SUMIFS('來源明細'!$J$2:$J$1401,'來源明細'!$A$2:$A$1401,N$4,'來源明細'!$E$2:$E$1401,"雜項")</f>
        <v/>
      </c>
      <c r="O44" s="3">
        <f>SUMIFS('來源明細'!$J$2:$J$1401,'來源明細'!$A$2:$A$1401,O$4,'來源明細'!$E$2:$E$1401,"雜項")</f>
        <v/>
      </c>
      <c r="P44" s="3">
        <f>SUMIFS('來源明細'!$J$2:$J$1401,'來源明細'!$A$2:$A$1401,P$4,'來源明細'!$E$2:$E$1401,"雜項")</f>
        <v/>
      </c>
      <c r="Q44" s="3">
        <f>SUMIFS('來源明細'!$J$2:$J$1401,'來源明細'!$A$2:$A$1401,Q$4,'來源明細'!$E$2:$E$1401,"雜項")</f>
        <v/>
      </c>
      <c r="R44" s="3">
        <f>SUMIFS('來源明細'!$J$2:$J$1401,'來源明細'!$A$2:$A$1401,R$4,'來源明細'!$E$2:$E$1401,"雜項")</f>
        <v/>
      </c>
      <c r="S44" s="3">
        <f>SUMIFS('來源明細'!$J$2:$J$1401,'來源明細'!$A$2:$A$1401,S$4,'來源明細'!$E$2:$E$1401,"雜項")</f>
        <v/>
      </c>
      <c r="T44" s="3">
        <f>SUMIFS('來源明細'!$J$2:$J$1401,'來源明細'!$A$2:$A$1401,T$4,'來源明細'!$E$2:$E$1401,"雜項")</f>
        <v/>
      </c>
      <c r="U44" s="3">
        <f>SUMIFS('來源明細'!$J$2:$J$1401,'來源明細'!$A$2:$A$1401,U$4,'來源明細'!$E$2:$E$1401,"雜項")</f>
        <v/>
      </c>
      <c r="V44" s="3">
        <f>SUMIFS('來源明細'!$J$2:$J$1401,'來源明細'!$A$2:$A$1401,V$4,'來源明細'!$E$2:$E$1401,"雜項")</f>
        <v/>
      </c>
      <c r="W44" s="3">
        <f>SUMIFS('來源明細'!$J$2:$J$1401,'來源明細'!$A$2:$A$1401,W$4,'來源明細'!$E$2:$E$1401,"雜項")</f>
        <v/>
      </c>
      <c r="X44" s="3">
        <f>SUMIFS('來源明細'!$J$2:$J$1401,'來源明細'!$A$2:$A$1401,X$4,'來源明細'!$E$2:$E$1401,"雜項")</f>
        <v/>
      </c>
    </row>
    <row r="45">
      <c r="A45" t="inlineStr">
        <is>
          <t>雜項</t>
        </is>
      </c>
      <c r="B45" t="n">
        <v>5</v>
      </c>
      <c r="D45" t="inlineStr">
        <is>
          <t>Cr.</t>
        </is>
      </c>
      <c r="E45" t="inlineStr">
        <is>
          <t>46110050</t>
        </is>
      </c>
      <c r="F45" t="inlineStr">
        <is>
          <t>勞務收入-內部計價</t>
        </is>
      </c>
      <c r="G45" t="inlineStr">
        <is>
          <t>上列反向</t>
        </is>
      </c>
      <c r="H45" s="3">
        <f>-H44</f>
        <v/>
      </c>
      <c r="I45" s="3">
        <f>-I44</f>
        <v/>
      </c>
      <c r="J45" s="3">
        <f>-J44</f>
        <v/>
      </c>
      <c r="K45" s="3">
        <f>-K44</f>
        <v/>
      </c>
      <c r="L45" s="3">
        <f>-L44</f>
        <v/>
      </c>
      <c r="M45" s="3">
        <f>-M44</f>
        <v/>
      </c>
      <c r="N45" s="3">
        <f>-N44</f>
        <v/>
      </c>
      <c r="O45" s="3">
        <f>-O44</f>
        <v/>
      </c>
      <c r="P45" s="3">
        <f>-P44</f>
        <v/>
      </c>
      <c r="Q45" s="3">
        <f>-Q44</f>
        <v/>
      </c>
      <c r="R45" s="3">
        <f>-R44</f>
        <v/>
      </c>
      <c r="S45" s="3">
        <f>-S44</f>
        <v/>
      </c>
      <c r="T45" s="3">
        <f>-T44</f>
        <v/>
      </c>
      <c r="U45" s="3">
        <f>-U44</f>
        <v/>
      </c>
      <c r="V45" s="3">
        <f>-V44</f>
        <v/>
      </c>
      <c r="W45" s="3">
        <f>-W44</f>
        <v/>
      </c>
      <c r="X45" s="3">
        <f>-X44</f>
        <v/>
      </c>
    </row>
    <row r="46">
      <c r="A46" s="4" t="n"/>
      <c r="B46" s="4" t="n"/>
      <c r="C46" s="4" t="n"/>
      <c r="D46" s="4" t="n"/>
      <c r="E46" s="4" t="n"/>
      <c r="F46" s="5" t="inlineStr">
        <is>
          <t>借貸差（應為0）</t>
        </is>
      </c>
      <c r="G46" s="4" t="n"/>
      <c r="H46" s="6">
        <f>ROUND(SUM(H44:H45),2)</f>
        <v/>
      </c>
      <c r="I46" s="6">
        <f>ROUND(SUM(I44:I45),2)</f>
        <v/>
      </c>
      <c r="J46" s="6">
        <f>ROUND(SUM(J44:J45),2)</f>
        <v/>
      </c>
      <c r="K46" s="6">
        <f>ROUND(SUM(K44:K45),2)</f>
        <v/>
      </c>
      <c r="L46" s="6">
        <f>ROUND(SUM(L44:L45),2)</f>
        <v/>
      </c>
      <c r="M46" s="6">
        <f>ROUND(SUM(M44:M45),2)</f>
        <v/>
      </c>
      <c r="N46" s="6">
        <f>ROUND(SUM(N44:N45),2)</f>
        <v/>
      </c>
      <c r="O46" s="6">
        <f>ROUND(SUM(O44:O45),2)</f>
        <v/>
      </c>
      <c r="P46" s="6">
        <f>ROUND(SUM(P44:P45),2)</f>
        <v/>
      </c>
      <c r="Q46" s="6">
        <f>ROUND(SUM(Q44:Q45),2)</f>
        <v/>
      </c>
      <c r="R46" s="6">
        <f>ROUND(SUM(R44:R45),2)</f>
        <v/>
      </c>
      <c r="S46" s="6">
        <f>ROUND(SUM(S44:S45),2)</f>
        <v/>
      </c>
      <c r="T46" s="6">
        <f>ROUND(SUM(T44:T45),2)</f>
        <v/>
      </c>
      <c r="U46" s="6">
        <f>ROUND(SUM(U44:U45),2)</f>
        <v/>
      </c>
      <c r="V46" s="6">
        <f>ROUND(SUM(V44:V45),2)</f>
        <v/>
      </c>
      <c r="W46" s="6">
        <f>ROUND(SUM(W44:W45),2)</f>
        <v/>
      </c>
      <c r="X46" s="6">
        <f>ROUND(SUM(X44:X45),2)</f>
        <v/>
      </c>
    </row>
    <row r="48">
      <c r="A48" t="inlineStr">
        <is>
          <t>備標</t>
        </is>
      </c>
      <c r="B48" t="n">
        <v>2</v>
      </c>
      <c r="C48" t="inlineStr">
        <is>
          <t>BIM費用轉列成本</t>
        </is>
      </c>
      <c r="D48" t="inlineStr">
        <is>
          <t>Dr.</t>
        </is>
      </c>
      <c r="E48" t="inlineStr">
        <is>
          <t>55/56xxxxxx</t>
        </is>
      </c>
      <c r="F48" t="inlineStr">
        <is>
          <t>專案成本</t>
        </is>
      </c>
      <c r="G48" t="inlineStr">
        <is>
          <t>A0 在建工程欄(成本)</t>
        </is>
      </c>
      <c r="H48" s="3">
        <f>SUMIFS('來源明細'!$F$2:$F$1401,'來源明細'!$A$2:$A$1401,H$4,'來源明細'!$E$2:$E$1401,"備標")</f>
        <v/>
      </c>
      <c r="I48" s="3">
        <f>SUMIFS('來源明細'!$F$2:$F$1401,'來源明細'!$A$2:$A$1401,I$4,'來源明細'!$E$2:$E$1401,"備標")</f>
        <v/>
      </c>
      <c r="J48" s="3">
        <f>SUMIFS('來源明細'!$F$2:$F$1401,'來源明細'!$A$2:$A$1401,J$4,'來源明細'!$E$2:$E$1401,"備標")</f>
        <v/>
      </c>
      <c r="K48" s="3">
        <f>SUMIFS('來源明細'!$F$2:$F$1401,'來源明細'!$A$2:$A$1401,K$4,'來源明細'!$E$2:$E$1401,"備標")</f>
        <v/>
      </c>
      <c r="L48" s="3">
        <f>SUMIFS('來源明細'!$F$2:$F$1401,'來源明細'!$A$2:$A$1401,L$4,'來源明細'!$E$2:$E$1401,"備標")</f>
        <v/>
      </c>
      <c r="M48" s="3">
        <f>SUMIFS('來源明細'!$F$2:$F$1401,'來源明細'!$A$2:$A$1401,M$4,'來源明細'!$E$2:$E$1401,"備標")</f>
        <v/>
      </c>
      <c r="N48" s="3">
        <f>SUMIFS('來源明細'!$F$2:$F$1401,'來源明細'!$A$2:$A$1401,N$4,'來源明細'!$E$2:$E$1401,"備標")</f>
        <v/>
      </c>
      <c r="O48" s="3">
        <f>SUMIFS('來源明細'!$F$2:$F$1401,'來源明細'!$A$2:$A$1401,O$4,'來源明細'!$E$2:$E$1401,"備標")</f>
        <v/>
      </c>
      <c r="P48" s="3">
        <f>SUMIFS('來源明細'!$F$2:$F$1401,'來源明細'!$A$2:$A$1401,P$4,'來源明細'!$E$2:$E$1401,"備標")</f>
        <v/>
      </c>
      <c r="Q48" s="3">
        <f>SUMIFS('來源明細'!$F$2:$F$1401,'來源明細'!$A$2:$A$1401,Q$4,'來源明細'!$E$2:$E$1401,"備標")</f>
        <v/>
      </c>
      <c r="R48" s="3">
        <f>SUMIFS('來源明細'!$F$2:$F$1401,'來源明細'!$A$2:$A$1401,R$4,'來源明細'!$E$2:$E$1401,"備標")</f>
        <v/>
      </c>
      <c r="S48" s="3">
        <f>SUMIFS('來源明細'!$F$2:$F$1401,'來源明細'!$A$2:$A$1401,S$4,'來源明細'!$E$2:$E$1401,"備標")</f>
        <v/>
      </c>
      <c r="T48" s="3">
        <f>SUMIFS('來源明細'!$F$2:$F$1401,'來源明細'!$A$2:$A$1401,T$4,'來源明細'!$E$2:$E$1401,"備標")</f>
        <v/>
      </c>
      <c r="U48" s="3">
        <f>SUMIFS('來源明細'!$F$2:$F$1401,'來源明細'!$A$2:$A$1401,U$4,'來源明細'!$E$2:$E$1401,"備標")</f>
        <v/>
      </c>
      <c r="V48" s="3">
        <f>SUMIFS('來源明細'!$F$2:$F$1401,'來源明細'!$A$2:$A$1401,V$4,'來源明細'!$E$2:$E$1401,"備標")</f>
        <v/>
      </c>
      <c r="W48" s="3">
        <f>SUMIFS('來源明細'!$F$2:$F$1401,'來源明細'!$A$2:$A$1401,W$4,'來源明細'!$E$2:$E$1401,"備標")</f>
        <v/>
      </c>
      <c r="X48" s="3">
        <f>SUMIFS('來源明細'!$F$2:$F$1401,'來源明細'!$A$2:$A$1401,X$4,'來源明細'!$E$2:$E$1401,"備標")</f>
        <v/>
      </c>
    </row>
    <row r="49">
      <c r="A49" t="inlineStr">
        <is>
          <t>備標</t>
        </is>
      </c>
      <c r="B49" t="n">
        <v>2</v>
      </c>
      <c r="D49" t="inlineStr">
        <is>
          <t>Cr.</t>
        </is>
      </c>
      <c r="E49" t="inlineStr">
        <is>
          <t>62109999/62350099</t>
        </is>
      </c>
      <c r="F49" t="inlineStr">
        <is>
          <t>人事分攤／電腦out charge（合計，拆分無資料）</t>
        </is>
      </c>
      <c r="G49" t="inlineStr">
        <is>
          <t>上列反向</t>
        </is>
      </c>
      <c r="H49" s="3">
        <f>-H48</f>
        <v/>
      </c>
      <c r="I49" s="3">
        <f>-I48</f>
        <v/>
      </c>
      <c r="J49" s="3">
        <f>-J48</f>
        <v/>
      </c>
      <c r="K49" s="3">
        <f>-K48</f>
        <v/>
      </c>
      <c r="L49" s="3">
        <f>-L48</f>
        <v/>
      </c>
      <c r="M49" s="3">
        <f>-M48</f>
        <v/>
      </c>
      <c r="N49" s="3">
        <f>-N48</f>
        <v/>
      </c>
      <c r="O49" s="3">
        <f>-O48</f>
        <v/>
      </c>
      <c r="P49" s="3">
        <f>-P48</f>
        <v/>
      </c>
      <c r="Q49" s="3">
        <f>-Q48</f>
        <v/>
      </c>
      <c r="R49" s="3">
        <f>-R48</f>
        <v/>
      </c>
      <c r="S49" s="3">
        <f>-S48</f>
        <v/>
      </c>
      <c r="T49" s="3">
        <f>-T48</f>
        <v/>
      </c>
      <c r="U49" s="3">
        <f>-U48</f>
        <v/>
      </c>
      <c r="V49" s="3">
        <f>-V48</f>
        <v/>
      </c>
      <c r="W49" s="3">
        <f>-W48</f>
        <v/>
      </c>
      <c r="X49" s="3">
        <f>-X48</f>
        <v/>
      </c>
    </row>
    <row r="50">
      <c r="A50" s="4" t="n"/>
      <c r="B50" s="4" t="n"/>
      <c r="C50" s="4" t="n"/>
      <c r="D50" s="4" t="n"/>
      <c r="E50" s="4" t="n"/>
      <c r="F50" s="5" t="inlineStr">
        <is>
          <t>借貸差（應為0）</t>
        </is>
      </c>
      <c r="G50" s="4" t="n"/>
      <c r="H50" s="6">
        <f>ROUND(SUM(H48:H49),2)</f>
        <v/>
      </c>
      <c r="I50" s="6">
        <f>ROUND(SUM(I48:I49),2)</f>
        <v/>
      </c>
      <c r="J50" s="6">
        <f>ROUND(SUM(J48:J49),2)</f>
        <v/>
      </c>
      <c r="K50" s="6">
        <f>ROUND(SUM(K48:K49),2)</f>
        <v/>
      </c>
      <c r="L50" s="6">
        <f>ROUND(SUM(L48:L49),2)</f>
        <v/>
      </c>
      <c r="M50" s="6">
        <f>ROUND(SUM(M48:M49),2)</f>
        <v/>
      </c>
      <c r="N50" s="6">
        <f>ROUND(SUM(N48:N49),2)</f>
        <v/>
      </c>
      <c r="O50" s="6">
        <f>ROUND(SUM(O48:O49),2)</f>
        <v/>
      </c>
      <c r="P50" s="6">
        <f>ROUND(SUM(P48:P49),2)</f>
        <v/>
      </c>
      <c r="Q50" s="6">
        <f>ROUND(SUM(Q48:Q49),2)</f>
        <v/>
      </c>
      <c r="R50" s="6">
        <f>ROUND(SUM(R48:R49),2)</f>
        <v/>
      </c>
      <c r="S50" s="6">
        <f>ROUND(SUM(S48:S49),2)</f>
        <v/>
      </c>
      <c r="T50" s="6">
        <f>ROUND(SUM(T48:T49),2)</f>
        <v/>
      </c>
      <c r="U50" s="6">
        <f>ROUND(SUM(U48:U49),2)</f>
        <v/>
      </c>
      <c r="V50" s="6">
        <f>ROUND(SUM(V48:V49),2)</f>
        <v/>
      </c>
      <c r="W50" s="6">
        <f>ROUND(SUM(W48:W49),2)</f>
        <v/>
      </c>
      <c r="X50" s="6">
        <f>ROUND(SUM(X48:X49),2)</f>
        <v/>
      </c>
    </row>
    <row r="52">
      <c r="A52" t="inlineStr">
        <is>
          <t>備標</t>
        </is>
      </c>
      <c r="B52" t="n">
        <v>5</v>
      </c>
      <c r="C52" t="inlineStr">
        <is>
          <t>BIM開立發票(內部計價)</t>
        </is>
      </c>
      <c r="D52" t="inlineStr">
        <is>
          <t>Dr.</t>
        </is>
      </c>
      <c r="E52" t="inlineStr">
        <is>
          <t>11430000</t>
        </is>
      </c>
      <c r="F52" t="inlineStr">
        <is>
          <t>公司內部往來-TO &amp; BIM</t>
        </is>
      </c>
      <c r="G52" t="inlineStr">
        <is>
          <t>B0 預收開票</t>
        </is>
      </c>
      <c r="H52" s="3">
        <f>SUMIFS('來源明細'!$J$2:$J$1401,'來源明細'!$A$2:$A$1401,H$4,'來源明細'!$E$2:$E$1401,"備標")</f>
        <v/>
      </c>
      <c r="I52" s="3">
        <f>SUMIFS('來源明細'!$J$2:$J$1401,'來源明細'!$A$2:$A$1401,I$4,'來源明細'!$E$2:$E$1401,"備標")</f>
        <v/>
      </c>
      <c r="J52" s="3">
        <f>SUMIFS('來源明細'!$J$2:$J$1401,'來源明細'!$A$2:$A$1401,J$4,'來源明細'!$E$2:$E$1401,"備標")</f>
        <v/>
      </c>
      <c r="K52" s="3">
        <f>SUMIFS('來源明細'!$J$2:$J$1401,'來源明細'!$A$2:$A$1401,K$4,'來源明細'!$E$2:$E$1401,"備標")</f>
        <v/>
      </c>
      <c r="L52" s="3">
        <f>SUMIFS('來源明細'!$J$2:$J$1401,'來源明細'!$A$2:$A$1401,L$4,'來源明細'!$E$2:$E$1401,"備標")</f>
        <v/>
      </c>
      <c r="M52" s="3">
        <f>SUMIFS('來源明細'!$J$2:$J$1401,'來源明細'!$A$2:$A$1401,M$4,'來源明細'!$E$2:$E$1401,"備標")</f>
        <v/>
      </c>
      <c r="N52" s="3">
        <f>SUMIFS('來源明細'!$J$2:$J$1401,'來源明細'!$A$2:$A$1401,N$4,'來源明細'!$E$2:$E$1401,"備標")</f>
        <v/>
      </c>
      <c r="O52" s="3">
        <f>SUMIFS('來源明細'!$J$2:$J$1401,'來源明細'!$A$2:$A$1401,O$4,'來源明細'!$E$2:$E$1401,"備標")</f>
        <v/>
      </c>
      <c r="P52" s="3">
        <f>SUMIFS('來源明細'!$J$2:$J$1401,'來源明細'!$A$2:$A$1401,P$4,'來源明細'!$E$2:$E$1401,"備標")</f>
        <v/>
      </c>
      <c r="Q52" s="3">
        <f>SUMIFS('來源明細'!$J$2:$J$1401,'來源明細'!$A$2:$A$1401,Q$4,'來源明細'!$E$2:$E$1401,"備標")</f>
        <v/>
      </c>
      <c r="R52" s="3">
        <f>SUMIFS('來源明細'!$J$2:$J$1401,'來源明細'!$A$2:$A$1401,R$4,'來源明細'!$E$2:$E$1401,"備標")</f>
        <v/>
      </c>
      <c r="S52" s="3">
        <f>SUMIFS('來源明細'!$J$2:$J$1401,'來源明細'!$A$2:$A$1401,S$4,'來源明細'!$E$2:$E$1401,"備標")</f>
        <v/>
      </c>
      <c r="T52" s="3">
        <f>SUMIFS('來源明細'!$J$2:$J$1401,'來源明細'!$A$2:$A$1401,T$4,'來源明細'!$E$2:$E$1401,"備標")</f>
        <v/>
      </c>
      <c r="U52" s="3">
        <f>SUMIFS('來源明細'!$J$2:$J$1401,'來源明細'!$A$2:$A$1401,U$4,'來源明細'!$E$2:$E$1401,"備標")</f>
        <v/>
      </c>
      <c r="V52" s="3">
        <f>SUMIFS('來源明細'!$J$2:$J$1401,'來源明細'!$A$2:$A$1401,V$4,'來源明細'!$E$2:$E$1401,"備標")</f>
        <v/>
      </c>
      <c r="W52" s="3">
        <f>SUMIFS('來源明細'!$J$2:$J$1401,'來源明細'!$A$2:$A$1401,W$4,'來源明細'!$E$2:$E$1401,"備標")</f>
        <v/>
      </c>
      <c r="X52" s="3">
        <f>SUMIFS('來源明細'!$J$2:$J$1401,'來源明細'!$A$2:$A$1401,X$4,'來源明細'!$E$2:$E$1401,"備標")</f>
        <v/>
      </c>
    </row>
    <row r="53">
      <c r="A53" t="inlineStr">
        <is>
          <t>備標</t>
        </is>
      </c>
      <c r="B53" t="n">
        <v>5</v>
      </c>
      <c r="D53" t="inlineStr">
        <is>
          <t>Cr.</t>
        </is>
      </c>
      <c r="E53" t="inlineStr">
        <is>
          <t>46110050</t>
        </is>
      </c>
      <c r="F53" t="inlineStr">
        <is>
          <t>勞務收入-內部計價</t>
        </is>
      </c>
      <c r="G53" t="inlineStr">
        <is>
          <t>上列反向</t>
        </is>
      </c>
      <c r="H53" s="3">
        <f>-H52</f>
        <v/>
      </c>
      <c r="I53" s="3">
        <f>-I52</f>
        <v/>
      </c>
      <c r="J53" s="3">
        <f>-J52</f>
        <v/>
      </c>
      <c r="K53" s="3">
        <f>-K52</f>
        <v/>
      </c>
      <c r="L53" s="3">
        <f>-L52</f>
        <v/>
      </c>
      <c r="M53" s="3">
        <f>-M52</f>
        <v/>
      </c>
      <c r="N53" s="3">
        <f>-N52</f>
        <v/>
      </c>
      <c r="O53" s="3">
        <f>-O52</f>
        <v/>
      </c>
      <c r="P53" s="3">
        <f>-P52</f>
        <v/>
      </c>
      <c r="Q53" s="3">
        <f>-Q52</f>
        <v/>
      </c>
      <c r="R53" s="3">
        <f>-R52</f>
        <v/>
      </c>
      <c r="S53" s="3">
        <f>-S52</f>
        <v/>
      </c>
      <c r="T53" s="3">
        <f>-T52</f>
        <v/>
      </c>
      <c r="U53" s="3">
        <f>-U52</f>
        <v/>
      </c>
      <c r="V53" s="3">
        <f>-V52</f>
        <v/>
      </c>
      <c r="W53" s="3">
        <f>-W52</f>
        <v/>
      </c>
      <c r="X53" s="3">
        <f>-X52</f>
        <v/>
      </c>
    </row>
    <row r="54">
      <c r="A54" s="4" t="n"/>
      <c r="B54" s="4" t="n"/>
      <c r="C54" s="4" t="n"/>
      <c r="D54" s="4" t="n"/>
      <c r="E54" s="4" t="n"/>
      <c r="F54" s="5" t="inlineStr">
        <is>
          <t>借貸差（應為0）</t>
        </is>
      </c>
      <c r="G54" s="4" t="n"/>
      <c r="H54" s="6">
        <f>ROUND(SUM(H52:H53),2)</f>
        <v/>
      </c>
      <c r="I54" s="6">
        <f>ROUND(SUM(I52:I53),2)</f>
        <v/>
      </c>
      <c r="J54" s="6">
        <f>ROUND(SUM(J52:J53),2)</f>
        <v/>
      </c>
      <c r="K54" s="6">
        <f>ROUND(SUM(K52:K53),2)</f>
        <v/>
      </c>
      <c r="L54" s="6">
        <f>ROUND(SUM(L52:L53),2)</f>
        <v/>
      </c>
      <c r="M54" s="6">
        <f>ROUND(SUM(M52:M53),2)</f>
        <v/>
      </c>
      <c r="N54" s="6">
        <f>ROUND(SUM(N52:N53),2)</f>
        <v/>
      </c>
      <c r="O54" s="6">
        <f>ROUND(SUM(O52:O53),2)</f>
        <v/>
      </c>
      <c r="P54" s="6">
        <f>ROUND(SUM(P52:P53),2)</f>
        <v/>
      </c>
      <c r="Q54" s="6">
        <f>ROUND(SUM(Q52:Q53),2)</f>
        <v/>
      </c>
      <c r="R54" s="6">
        <f>ROUND(SUM(R52:R53),2)</f>
        <v/>
      </c>
      <c r="S54" s="6">
        <f>ROUND(SUM(S52:S53),2)</f>
        <v/>
      </c>
      <c r="T54" s="6">
        <f>ROUND(SUM(T52:T53),2)</f>
        <v/>
      </c>
      <c r="U54" s="6">
        <f>ROUND(SUM(U52:U53),2)</f>
        <v/>
      </c>
      <c r="V54" s="6">
        <f>ROUND(SUM(V52:V53),2)</f>
        <v/>
      </c>
      <c r="W54" s="6">
        <f>ROUND(SUM(W52:W53),2)</f>
        <v/>
      </c>
      <c r="X54" s="6">
        <f>ROUND(SUM(X52:X53),2)</f>
        <v/>
      </c>
    </row>
    <row r="56">
      <c r="F56" s="7" t="inlineStr">
        <is>
          <t>全部分錄借貸差合計（應為0）</t>
        </is>
      </c>
      <c r="H56" s="3">
        <f>ABS(H7)+ABS(H12)+ABS(H16)+ABS(H20)+ABS(H24)+ABS(H29)+ABS(H34)+ABS(H38)+ABS(H42)+ABS(H46)+ABS(H50)+ABS(H54)</f>
        <v/>
      </c>
      <c r="I56" s="3">
        <f>ABS(I7)+ABS(I12)+ABS(I16)+ABS(I20)+ABS(I24)+ABS(I29)+ABS(I34)+ABS(I38)+ABS(I42)+ABS(I46)+ABS(I50)+ABS(I54)</f>
        <v/>
      </c>
      <c r="J56" s="3">
        <f>ABS(J7)+ABS(J12)+ABS(J16)+ABS(J20)+ABS(J24)+ABS(J29)+ABS(J34)+ABS(J38)+ABS(J42)+ABS(J46)+ABS(J50)+ABS(J54)</f>
        <v/>
      </c>
      <c r="K56" s="3">
        <f>ABS(K7)+ABS(K12)+ABS(K16)+ABS(K20)+ABS(K24)+ABS(K29)+ABS(K34)+ABS(K38)+ABS(K42)+ABS(K46)+ABS(K50)+ABS(K54)</f>
        <v/>
      </c>
      <c r="L56" s="3">
        <f>ABS(L7)+ABS(L12)+ABS(L16)+ABS(L20)+ABS(L24)+ABS(L29)+ABS(L34)+ABS(L38)+ABS(L42)+ABS(L46)+ABS(L50)+ABS(L54)</f>
        <v/>
      </c>
      <c r="M56" s="3">
        <f>ABS(M7)+ABS(M12)+ABS(M16)+ABS(M20)+ABS(M24)+ABS(M29)+ABS(M34)+ABS(M38)+ABS(M42)+ABS(M46)+ABS(M50)+ABS(M54)</f>
        <v/>
      </c>
      <c r="N56" s="3">
        <f>ABS(N7)+ABS(N12)+ABS(N16)+ABS(N20)+ABS(N24)+ABS(N29)+ABS(N34)+ABS(N38)+ABS(N42)+ABS(N46)+ABS(N50)+ABS(N54)</f>
        <v/>
      </c>
      <c r="O56" s="3">
        <f>ABS(O7)+ABS(O12)+ABS(O16)+ABS(O20)+ABS(O24)+ABS(O29)+ABS(O34)+ABS(O38)+ABS(O42)+ABS(O46)+ABS(O50)+ABS(O54)</f>
        <v/>
      </c>
      <c r="P56" s="3">
        <f>ABS(P7)+ABS(P12)+ABS(P16)+ABS(P20)+ABS(P24)+ABS(P29)+ABS(P34)+ABS(P38)+ABS(P42)+ABS(P46)+ABS(P50)+ABS(P54)</f>
        <v/>
      </c>
      <c r="Q56" s="3">
        <f>ABS(Q7)+ABS(Q12)+ABS(Q16)+ABS(Q20)+ABS(Q24)+ABS(Q29)+ABS(Q34)+ABS(Q38)+ABS(Q42)+ABS(Q46)+ABS(Q50)+ABS(Q54)</f>
        <v/>
      </c>
      <c r="R56" s="3">
        <f>ABS(R7)+ABS(R12)+ABS(R16)+ABS(R20)+ABS(R24)+ABS(R29)+ABS(R34)+ABS(R38)+ABS(R42)+ABS(R46)+ABS(R50)+ABS(R54)</f>
        <v/>
      </c>
      <c r="S56" s="3">
        <f>ABS(S7)+ABS(S12)+ABS(S16)+ABS(S20)+ABS(S24)+ABS(S29)+ABS(S34)+ABS(S38)+ABS(S42)+ABS(S46)+ABS(S50)+ABS(S54)</f>
        <v/>
      </c>
      <c r="T56" s="3">
        <f>ABS(T7)+ABS(T12)+ABS(T16)+ABS(T20)+ABS(T24)+ABS(T29)+ABS(T34)+ABS(T38)+ABS(T42)+ABS(T46)+ABS(T50)+ABS(T54)</f>
        <v/>
      </c>
      <c r="U56" s="3">
        <f>ABS(U7)+ABS(U12)+ABS(U16)+ABS(U20)+ABS(U24)+ABS(U29)+ABS(U34)+ABS(U38)+ABS(U42)+ABS(U46)+ABS(U50)+ABS(U54)</f>
        <v/>
      </c>
      <c r="V56" s="3">
        <f>ABS(V7)+ABS(V12)+ABS(V16)+ABS(V20)+ABS(V24)+ABS(V29)+ABS(V34)+ABS(V38)+ABS(V42)+ABS(V46)+ABS(V50)+ABS(V54)</f>
        <v/>
      </c>
      <c r="W56" s="3">
        <f>ABS(W7)+ABS(W12)+ABS(W16)+ABS(W20)+ABS(W24)+ABS(W29)+ABS(W34)+ABS(W38)+ABS(W42)+ABS(W46)+ABS(W50)+ABS(W54)</f>
        <v/>
      </c>
      <c r="X56" s="3">
        <f>ABS(X7)+ABS(X12)+ABS(X16)+ABS(X20)+ABS(X24)+ABS(X29)+ABS(X34)+ABS(X38)+ABS(X42)+ABS(X46)+ABS(X50)+ABS(X54)</f>
        <v/>
      </c>
    </row>
    <row r="57">
      <c r="F57" s="7" t="inlineStr">
        <is>
          <t>檢核結果</t>
        </is>
      </c>
      <c r="H57" s="8">
        <f>IF(H56&lt;0.5,"OK","不平")</f>
        <v/>
      </c>
      <c r="I57" s="8">
        <f>IF(I56&lt;0.5,"OK","不平")</f>
        <v/>
      </c>
      <c r="J57" s="8">
        <f>IF(J56&lt;0.5,"OK","不平")</f>
        <v/>
      </c>
      <c r="K57" s="8">
        <f>IF(K56&lt;0.5,"OK","不平")</f>
        <v/>
      </c>
      <c r="L57" s="8">
        <f>IF(L56&lt;0.5,"OK","不平")</f>
        <v/>
      </c>
      <c r="M57" s="8">
        <f>IF(M56&lt;0.5,"OK","不平")</f>
        <v/>
      </c>
      <c r="N57" s="8">
        <f>IF(N56&lt;0.5,"OK","不平")</f>
        <v/>
      </c>
      <c r="O57" s="8">
        <f>IF(O56&lt;0.5,"OK","不平")</f>
        <v/>
      </c>
      <c r="P57" s="8">
        <f>IF(P56&lt;0.5,"OK","不平")</f>
        <v/>
      </c>
      <c r="Q57" s="8">
        <f>IF(Q56&lt;0.5,"OK","不平")</f>
        <v/>
      </c>
      <c r="R57" s="8">
        <f>IF(R56&lt;0.5,"OK","不平")</f>
        <v/>
      </c>
      <c r="S57" s="8">
        <f>IF(S56&lt;0.5,"OK","不平")</f>
        <v/>
      </c>
      <c r="T57" s="8">
        <f>IF(T56&lt;0.5,"OK","不平")</f>
        <v/>
      </c>
      <c r="U57" s="8">
        <f>IF(U56&lt;0.5,"OK","不平")</f>
        <v/>
      </c>
      <c r="V57" s="8">
        <f>IF(V56&lt;0.5,"OK","不平")</f>
        <v/>
      </c>
      <c r="W57" s="8">
        <f>IF(W56&lt;0.5,"OK","不平")</f>
        <v/>
      </c>
      <c r="X57" s="8">
        <f>IF(X56&lt;0.5,"OK","不平")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4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各期科目彙總（依分錄頁加總，+借／−貸）與在建・預收餘額滾算</t>
        </is>
      </c>
    </row>
    <row r="3" ht="30" customHeight="1">
      <c r="A3" s="2" t="inlineStr">
        <is>
          <t>分類</t>
        </is>
      </c>
      <c r="B3" s="2" t="inlineStr">
        <is>
          <t>類別</t>
        </is>
      </c>
      <c r="C3" s="2" t="inlineStr">
        <is>
          <t>會科代號</t>
        </is>
      </c>
      <c r="D3" s="2" t="inlineStr">
        <is>
          <t>會科名稱</t>
        </is>
      </c>
      <c r="E3" s="2" t="inlineStr">
        <is>
          <t>2026/09 ~ 2026/12</t>
        </is>
      </c>
      <c r="F3" s="2" t="inlineStr">
        <is>
          <t>2027/1</t>
        </is>
      </c>
      <c r="G3" s="2" t="inlineStr">
        <is>
          <t>2027/2</t>
        </is>
      </c>
      <c r="H3" s="2" t="inlineStr">
        <is>
          <t>2027/3</t>
        </is>
      </c>
      <c r="I3" s="2" t="inlineStr">
        <is>
          <t>2027/4</t>
        </is>
      </c>
      <c r="J3" s="2" t="inlineStr">
        <is>
          <t>2027/5</t>
        </is>
      </c>
      <c r="K3" s="2" t="inlineStr">
        <is>
          <t>2027/6</t>
        </is>
      </c>
      <c r="L3" s="2" t="inlineStr">
        <is>
          <t>2027/7</t>
        </is>
      </c>
      <c r="M3" s="2" t="inlineStr">
        <is>
          <t>2027/8</t>
        </is>
      </c>
      <c r="N3" s="2" t="inlineStr">
        <is>
          <t>2027/9</t>
        </is>
      </c>
      <c r="O3" s="2" t="inlineStr">
        <is>
          <t>2027/10</t>
        </is>
      </c>
      <c r="P3" s="2" t="inlineStr">
        <is>
          <t>2027/11</t>
        </is>
      </c>
      <c r="Q3" s="2" t="inlineStr">
        <is>
          <t>2027/12</t>
        </is>
      </c>
      <c r="R3" s="2" t="inlineStr">
        <is>
          <t>Year 2028</t>
        </is>
      </c>
      <c r="S3" s="2" t="inlineStr">
        <is>
          <t>Year 2029</t>
        </is>
      </c>
      <c r="T3" s="2" t="inlineStr">
        <is>
          <t>Year 2030</t>
        </is>
      </c>
      <c r="U3" s="2" t="inlineStr">
        <is>
          <t>Year 2031</t>
        </is>
      </c>
    </row>
    <row r="4">
      <c r="A4" t="inlineStr">
        <is>
          <t>內案</t>
        </is>
      </c>
      <c r="B4" t="inlineStr">
        <is>
          <t>B/S</t>
        </is>
      </c>
      <c r="C4" t="inlineStr">
        <is>
          <t>12400000</t>
        </is>
      </c>
      <c r="D4" t="inlineStr">
        <is>
          <t>在建工程</t>
        </is>
      </c>
      <c r="E4" s="3">
        <f>SUMIFS('分錄'!H$5:H$54,'分錄'!$A$5:$A$54,$A4,'分錄'!$E$5:$E$54,$C4)</f>
        <v/>
      </c>
      <c r="F4" s="3">
        <f>SUMIFS('分錄'!I$5:I$54,'分錄'!$A$5:$A$54,$A4,'分錄'!$E$5:$E$54,$C4)</f>
        <v/>
      </c>
      <c r="G4" s="3">
        <f>SUMIFS('分錄'!J$5:J$54,'分錄'!$A$5:$A$54,$A4,'分錄'!$E$5:$E$54,$C4)</f>
        <v/>
      </c>
      <c r="H4" s="3">
        <f>SUMIFS('分錄'!K$5:K$54,'分錄'!$A$5:$A$54,$A4,'分錄'!$E$5:$E$54,$C4)</f>
        <v/>
      </c>
      <c r="I4" s="3">
        <f>SUMIFS('分錄'!L$5:L$54,'分錄'!$A$5:$A$54,$A4,'分錄'!$E$5:$E$54,$C4)</f>
        <v/>
      </c>
      <c r="J4" s="3">
        <f>SUMIFS('分錄'!M$5:M$54,'分錄'!$A$5:$A$54,$A4,'分錄'!$E$5:$E$54,$C4)</f>
        <v/>
      </c>
      <c r="K4" s="3">
        <f>SUMIFS('分錄'!N$5:N$54,'分錄'!$A$5:$A$54,$A4,'分錄'!$E$5:$E$54,$C4)</f>
        <v/>
      </c>
      <c r="L4" s="3">
        <f>SUMIFS('分錄'!O$5:O$54,'分錄'!$A$5:$A$54,$A4,'分錄'!$E$5:$E$54,$C4)</f>
        <v/>
      </c>
      <c r="M4" s="3">
        <f>SUMIFS('分錄'!P$5:P$54,'分錄'!$A$5:$A$54,$A4,'分錄'!$E$5:$E$54,$C4)</f>
        <v/>
      </c>
      <c r="N4" s="3">
        <f>SUMIFS('分錄'!Q$5:Q$54,'分錄'!$A$5:$A$54,$A4,'分錄'!$E$5:$E$54,$C4)</f>
        <v/>
      </c>
      <c r="O4" s="3">
        <f>SUMIFS('分錄'!R$5:R$54,'分錄'!$A$5:$A$54,$A4,'分錄'!$E$5:$E$54,$C4)</f>
        <v/>
      </c>
      <c r="P4" s="3">
        <f>SUMIFS('分錄'!S$5:S$54,'分錄'!$A$5:$A$54,$A4,'分錄'!$E$5:$E$54,$C4)</f>
        <v/>
      </c>
      <c r="Q4" s="3">
        <f>SUMIFS('分錄'!T$5:T$54,'分錄'!$A$5:$A$54,$A4,'分錄'!$E$5:$E$54,$C4)</f>
        <v/>
      </c>
      <c r="R4" s="3">
        <f>SUMIFS('分錄'!U$5:U$54,'分錄'!$A$5:$A$54,$A4,'分錄'!$E$5:$E$54,$C4)</f>
        <v/>
      </c>
      <c r="S4" s="3">
        <f>SUMIFS('分錄'!V$5:V$54,'分錄'!$A$5:$A$54,$A4,'分錄'!$E$5:$E$54,$C4)</f>
        <v/>
      </c>
      <c r="T4" s="3">
        <f>SUMIFS('分錄'!W$5:W$54,'分錄'!$A$5:$A$54,$A4,'分錄'!$E$5:$E$54,$C4)</f>
        <v/>
      </c>
      <c r="U4" s="3">
        <f>SUMIFS('分錄'!X$5:X$54,'分錄'!$A$5:$A$54,$A4,'分錄'!$E$5:$E$54,$C4)</f>
        <v/>
      </c>
    </row>
    <row r="5">
      <c r="A5" t="inlineStr">
        <is>
          <t>內案</t>
        </is>
      </c>
      <c r="B5" t="inlineStr">
        <is>
          <t>B/S</t>
        </is>
      </c>
      <c r="C5" t="inlineStr">
        <is>
          <t>12470000</t>
        </is>
      </c>
      <c r="D5" t="inlineStr">
        <is>
          <t>在建損益-承攬案</t>
        </is>
      </c>
      <c r="E5" s="3">
        <f>SUMIFS('分錄'!H$5:H$54,'分錄'!$A$5:$A$54,$A5,'分錄'!$E$5:$E$54,$C5)</f>
        <v/>
      </c>
      <c r="F5" s="3">
        <f>SUMIFS('分錄'!I$5:I$54,'分錄'!$A$5:$A$54,$A5,'分錄'!$E$5:$E$54,$C5)</f>
        <v/>
      </c>
      <c r="G5" s="3">
        <f>SUMIFS('分錄'!J$5:J$54,'分錄'!$A$5:$A$54,$A5,'分錄'!$E$5:$E$54,$C5)</f>
        <v/>
      </c>
      <c r="H5" s="3">
        <f>SUMIFS('分錄'!K$5:K$54,'分錄'!$A$5:$A$54,$A5,'分錄'!$E$5:$E$54,$C5)</f>
        <v/>
      </c>
      <c r="I5" s="3">
        <f>SUMIFS('分錄'!L$5:L$54,'分錄'!$A$5:$A$54,$A5,'分錄'!$E$5:$E$54,$C5)</f>
        <v/>
      </c>
      <c r="J5" s="3">
        <f>SUMIFS('分錄'!M$5:M$54,'分錄'!$A$5:$A$54,$A5,'分錄'!$E$5:$E$54,$C5)</f>
        <v/>
      </c>
      <c r="K5" s="3">
        <f>SUMIFS('分錄'!N$5:N$54,'分錄'!$A$5:$A$54,$A5,'分錄'!$E$5:$E$54,$C5)</f>
        <v/>
      </c>
      <c r="L5" s="3">
        <f>SUMIFS('分錄'!O$5:O$54,'分錄'!$A$5:$A$54,$A5,'分錄'!$E$5:$E$54,$C5)</f>
        <v/>
      </c>
      <c r="M5" s="3">
        <f>SUMIFS('分錄'!P$5:P$54,'分錄'!$A$5:$A$54,$A5,'分錄'!$E$5:$E$54,$C5)</f>
        <v/>
      </c>
      <c r="N5" s="3">
        <f>SUMIFS('分錄'!Q$5:Q$54,'分錄'!$A$5:$A$54,$A5,'分錄'!$E$5:$E$54,$C5)</f>
        <v/>
      </c>
      <c r="O5" s="3">
        <f>SUMIFS('分錄'!R$5:R$54,'分錄'!$A$5:$A$54,$A5,'分錄'!$E$5:$E$54,$C5)</f>
        <v/>
      </c>
      <c r="P5" s="3">
        <f>SUMIFS('分錄'!S$5:S$54,'分錄'!$A$5:$A$54,$A5,'分錄'!$E$5:$E$54,$C5)</f>
        <v/>
      </c>
      <c r="Q5" s="3">
        <f>SUMIFS('分錄'!T$5:T$54,'分錄'!$A$5:$A$54,$A5,'分錄'!$E$5:$E$54,$C5)</f>
        <v/>
      </c>
      <c r="R5" s="3">
        <f>SUMIFS('分錄'!U$5:U$54,'分錄'!$A$5:$A$54,$A5,'分錄'!$E$5:$E$54,$C5)</f>
        <v/>
      </c>
      <c r="S5" s="3">
        <f>SUMIFS('分錄'!V$5:V$54,'分錄'!$A$5:$A$54,$A5,'分錄'!$E$5:$E$54,$C5)</f>
        <v/>
      </c>
      <c r="T5" s="3">
        <f>SUMIFS('分錄'!W$5:W$54,'分錄'!$A$5:$A$54,$A5,'分錄'!$E$5:$E$54,$C5)</f>
        <v/>
      </c>
      <c r="U5" s="3">
        <f>SUMIFS('分錄'!X$5:X$54,'分錄'!$A$5:$A$54,$A5,'分錄'!$E$5:$E$54,$C5)</f>
        <v/>
      </c>
    </row>
    <row r="6">
      <c r="A6" t="inlineStr">
        <is>
          <t>內案</t>
        </is>
      </c>
      <c r="B6" t="inlineStr">
        <is>
          <t>B/S</t>
        </is>
      </c>
      <c r="C6" t="inlineStr">
        <is>
          <t>22640000</t>
        </is>
      </c>
      <c r="D6" t="inlineStr">
        <is>
          <t>預收工程款</t>
        </is>
      </c>
      <c r="E6" s="3">
        <f>SUMIFS('分錄'!H$5:H$54,'分錄'!$A$5:$A$54,$A6,'分錄'!$E$5:$E$54,$C6)</f>
        <v/>
      </c>
      <c r="F6" s="3">
        <f>SUMIFS('分錄'!I$5:I$54,'分錄'!$A$5:$A$54,$A6,'分錄'!$E$5:$E$54,$C6)</f>
        <v/>
      </c>
      <c r="G6" s="3">
        <f>SUMIFS('分錄'!J$5:J$54,'分錄'!$A$5:$A$54,$A6,'分錄'!$E$5:$E$54,$C6)</f>
        <v/>
      </c>
      <c r="H6" s="3">
        <f>SUMIFS('分錄'!K$5:K$54,'分錄'!$A$5:$A$54,$A6,'分錄'!$E$5:$E$54,$C6)</f>
        <v/>
      </c>
      <c r="I6" s="3">
        <f>SUMIFS('分錄'!L$5:L$54,'分錄'!$A$5:$A$54,$A6,'分錄'!$E$5:$E$54,$C6)</f>
        <v/>
      </c>
      <c r="J6" s="3">
        <f>SUMIFS('分錄'!M$5:M$54,'分錄'!$A$5:$A$54,$A6,'分錄'!$E$5:$E$54,$C6)</f>
        <v/>
      </c>
      <c r="K6" s="3">
        <f>SUMIFS('分錄'!N$5:N$54,'分錄'!$A$5:$A$54,$A6,'分錄'!$E$5:$E$54,$C6)</f>
        <v/>
      </c>
      <c r="L6" s="3">
        <f>SUMIFS('分錄'!O$5:O$54,'分錄'!$A$5:$A$54,$A6,'分錄'!$E$5:$E$54,$C6)</f>
        <v/>
      </c>
      <c r="M6" s="3">
        <f>SUMIFS('分錄'!P$5:P$54,'分錄'!$A$5:$A$54,$A6,'分錄'!$E$5:$E$54,$C6)</f>
        <v/>
      </c>
      <c r="N6" s="3">
        <f>SUMIFS('分錄'!Q$5:Q$54,'分錄'!$A$5:$A$54,$A6,'分錄'!$E$5:$E$54,$C6)</f>
        <v/>
      </c>
      <c r="O6" s="3">
        <f>SUMIFS('分錄'!R$5:R$54,'分錄'!$A$5:$A$54,$A6,'分錄'!$E$5:$E$54,$C6)</f>
        <v/>
      </c>
      <c r="P6" s="3">
        <f>SUMIFS('分錄'!S$5:S$54,'分錄'!$A$5:$A$54,$A6,'分錄'!$E$5:$E$54,$C6)</f>
        <v/>
      </c>
      <c r="Q6" s="3">
        <f>SUMIFS('分錄'!T$5:T$54,'分錄'!$A$5:$A$54,$A6,'分錄'!$E$5:$E$54,$C6)</f>
        <v/>
      </c>
      <c r="R6" s="3">
        <f>SUMIFS('分錄'!U$5:U$54,'分錄'!$A$5:$A$54,$A6,'分錄'!$E$5:$E$54,$C6)</f>
        <v/>
      </c>
      <c r="S6" s="3">
        <f>SUMIFS('分錄'!V$5:V$54,'分錄'!$A$5:$A$54,$A6,'分錄'!$E$5:$E$54,$C6)</f>
        <v/>
      </c>
      <c r="T6" s="3">
        <f>SUMIFS('分錄'!W$5:W$54,'分錄'!$A$5:$A$54,$A6,'分錄'!$E$5:$E$54,$C6)</f>
        <v/>
      </c>
      <c r="U6" s="3">
        <f>SUMIFS('分錄'!X$5:X$54,'分錄'!$A$5:$A$54,$A6,'分錄'!$E$5:$E$54,$C6)</f>
        <v/>
      </c>
    </row>
    <row r="7">
      <c r="A7" t="inlineStr">
        <is>
          <t>內案</t>
        </is>
      </c>
      <c r="B7" t="inlineStr">
        <is>
          <t>B/S</t>
        </is>
      </c>
      <c r="C7" t="inlineStr">
        <is>
          <t>11430000</t>
        </is>
      </c>
      <c r="D7" t="inlineStr">
        <is>
          <t>公司內部往來-TO &amp; BIM</t>
        </is>
      </c>
      <c r="E7" s="3">
        <f>SUMIFS('分錄'!H$5:H$54,'分錄'!$A$5:$A$54,$A7,'分錄'!$E$5:$E$54,$C7)</f>
        <v/>
      </c>
      <c r="F7" s="3">
        <f>SUMIFS('分錄'!I$5:I$54,'分錄'!$A$5:$A$54,$A7,'分錄'!$E$5:$E$54,$C7)</f>
        <v/>
      </c>
      <c r="G7" s="3">
        <f>SUMIFS('分錄'!J$5:J$54,'分錄'!$A$5:$A$54,$A7,'分錄'!$E$5:$E$54,$C7)</f>
        <v/>
      </c>
      <c r="H7" s="3">
        <f>SUMIFS('分錄'!K$5:K$54,'分錄'!$A$5:$A$54,$A7,'分錄'!$E$5:$E$54,$C7)</f>
        <v/>
      </c>
      <c r="I7" s="3">
        <f>SUMIFS('分錄'!L$5:L$54,'分錄'!$A$5:$A$54,$A7,'分錄'!$E$5:$E$54,$C7)</f>
        <v/>
      </c>
      <c r="J7" s="3">
        <f>SUMIFS('分錄'!M$5:M$54,'分錄'!$A$5:$A$54,$A7,'分錄'!$E$5:$E$54,$C7)</f>
        <v/>
      </c>
      <c r="K7" s="3">
        <f>SUMIFS('分錄'!N$5:N$54,'分錄'!$A$5:$A$54,$A7,'分錄'!$E$5:$E$54,$C7)</f>
        <v/>
      </c>
      <c r="L7" s="3">
        <f>SUMIFS('分錄'!O$5:O$54,'分錄'!$A$5:$A$54,$A7,'分錄'!$E$5:$E$54,$C7)</f>
        <v/>
      </c>
      <c r="M7" s="3">
        <f>SUMIFS('分錄'!P$5:P$54,'分錄'!$A$5:$A$54,$A7,'分錄'!$E$5:$E$54,$C7)</f>
        <v/>
      </c>
      <c r="N7" s="3">
        <f>SUMIFS('分錄'!Q$5:Q$54,'分錄'!$A$5:$A$54,$A7,'分錄'!$E$5:$E$54,$C7)</f>
        <v/>
      </c>
      <c r="O7" s="3">
        <f>SUMIFS('分錄'!R$5:R$54,'分錄'!$A$5:$A$54,$A7,'分錄'!$E$5:$E$54,$C7)</f>
        <v/>
      </c>
      <c r="P7" s="3">
        <f>SUMIFS('分錄'!S$5:S$54,'分錄'!$A$5:$A$54,$A7,'分錄'!$E$5:$E$54,$C7)</f>
        <v/>
      </c>
      <c r="Q7" s="3">
        <f>SUMIFS('分錄'!T$5:T$54,'分錄'!$A$5:$A$54,$A7,'分錄'!$E$5:$E$54,$C7)</f>
        <v/>
      </c>
      <c r="R7" s="3">
        <f>SUMIFS('分錄'!U$5:U$54,'分錄'!$A$5:$A$54,$A7,'分錄'!$E$5:$E$54,$C7)</f>
        <v/>
      </c>
      <c r="S7" s="3">
        <f>SUMIFS('分錄'!V$5:V$54,'分錄'!$A$5:$A$54,$A7,'分錄'!$E$5:$E$54,$C7)</f>
        <v/>
      </c>
      <c r="T7" s="3">
        <f>SUMIFS('分錄'!W$5:W$54,'分錄'!$A$5:$A$54,$A7,'分錄'!$E$5:$E$54,$C7)</f>
        <v/>
      </c>
      <c r="U7" s="3">
        <f>SUMIFS('分錄'!X$5:X$54,'分錄'!$A$5:$A$54,$A7,'分錄'!$E$5:$E$54,$C7)</f>
        <v/>
      </c>
    </row>
    <row r="8">
      <c r="A8" t="inlineStr">
        <is>
          <t>內案</t>
        </is>
      </c>
      <c r="B8" t="inlineStr">
        <is>
          <t>B/S</t>
        </is>
      </c>
      <c r="D8" t="inlineStr">
        <is>
          <t>負債準備-在建損失</t>
        </is>
      </c>
      <c r="E8" s="3">
        <f>SUMIFS('分錄'!H$5:H$54,'分錄'!$A$5:$A$54,$A8,'分錄'!$F$5:$F$54,$D8)</f>
        <v/>
      </c>
      <c r="F8" s="3">
        <f>SUMIFS('分錄'!I$5:I$54,'分錄'!$A$5:$A$54,$A8,'分錄'!$F$5:$F$54,$D8)</f>
        <v/>
      </c>
      <c r="G8" s="3">
        <f>SUMIFS('分錄'!J$5:J$54,'分錄'!$A$5:$A$54,$A8,'分錄'!$F$5:$F$54,$D8)</f>
        <v/>
      </c>
      <c r="H8" s="3">
        <f>SUMIFS('分錄'!K$5:K$54,'分錄'!$A$5:$A$54,$A8,'分錄'!$F$5:$F$54,$D8)</f>
        <v/>
      </c>
      <c r="I8" s="3">
        <f>SUMIFS('分錄'!L$5:L$54,'分錄'!$A$5:$A$54,$A8,'分錄'!$F$5:$F$54,$D8)</f>
        <v/>
      </c>
      <c r="J8" s="3">
        <f>SUMIFS('分錄'!M$5:M$54,'分錄'!$A$5:$A$54,$A8,'分錄'!$F$5:$F$54,$D8)</f>
        <v/>
      </c>
      <c r="K8" s="3">
        <f>SUMIFS('分錄'!N$5:N$54,'分錄'!$A$5:$A$54,$A8,'分錄'!$F$5:$F$54,$D8)</f>
        <v/>
      </c>
      <c r="L8" s="3">
        <f>SUMIFS('分錄'!O$5:O$54,'分錄'!$A$5:$A$54,$A8,'分錄'!$F$5:$F$54,$D8)</f>
        <v/>
      </c>
      <c r="M8" s="3">
        <f>SUMIFS('分錄'!P$5:P$54,'分錄'!$A$5:$A$54,$A8,'分錄'!$F$5:$F$54,$D8)</f>
        <v/>
      </c>
      <c r="N8" s="3">
        <f>SUMIFS('分錄'!Q$5:Q$54,'分錄'!$A$5:$A$54,$A8,'分錄'!$F$5:$F$54,$D8)</f>
        <v/>
      </c>
      <c r="O8" s="3">
        <f>SUMIFS('分錄'!R$5:R$54,'分錄'!$A$5:$A$54,$A8,'分錄'!$F$5:$F$54,$D8)</f>
        <v/>
      </c>
      <c r="P8" s="3">
        <f>SUMIFS('分錄'!S$5:S$54,'分錄'!$A$5:$A$54,$A8,'分錄'!$F$5:$F$54,$D8)</f>
        <v/>
      </c>
      <c r="Q8" s="3">
        <f>SUMIFS('分錄'!T$5:T$54,'分錄'!$A$5:$A$54,$A8,'分錄'!$F$5:$F$54,$D8)</f>
        <v/>
      </c>
      <c r="R8" s="3">
        <f>SUMIFS('分錄'!U$5:U$54,'分錄'!$A$5:$A$54,$A8,'分錄'!$F$5:$F$54,$D8)</f>
        <v/>
      </c>
      <c r="S8" s="3">
        <f>SUMIFS('分錄'!V$5:V$54,'分錄'!$A$5:$A$54,$A8,'分錄'!$F$5:$F$54,$D8)</f>
        <v/>
      </c>
      <c r="T8" s="3">
        <f>SUMIFS('分錄'!W$5:W$54,'分錄'!$A$5:$A$54,$A8,'分錄'!$F$5:$F$54,$D8)</f>
        <v/>
      </c>
      <c r="U8" s="3">
        <f>SUMIFS('分錄'!X$5:X$54,'分錄'!$A$5:$A$54,$A8,'分錄'!$F$5:$F$54,$D8)</f>
        <v/>
      </c>
    </row>
    <row r="9">
      <c r="A9" t="inlineStr">
        <is>
          <t>內案</t>
        </is>
      </c>
      <c r="B9" t="inlineStr">
        <is>
          <t>P/L</t>
        </is>
      </c>
      <c r="C9" t="inlineStr">
        <is>
          <t>45110000</t>
        </is>
      </c>
      <c r="D9" t="inlineStr">
        <is>
          <t>承攬工程收入</t>
        </is>
      </c>
      <c r="E9" s="3">
        <f>SUMIFS('分錄'!H$5:H$54,'分錄'!$A$5:$A$54,$A9,'分錄'!$E$5:$E$54,$C9)</f>
        <v/>
      </c>
      <c r="F9" s="3">
        <f>SUMIFS('分錄'!I$5:I$54,'分錄'!$A$5:$A$54,$A9,'分錄'!$E$5:$E$54,$C9)</f>
        <v/>
      </c>
      <c r="G9" s="3">
        <f>SUMIFS('分錄'!J$5:J$54,'分錄'!$A$5:$A$54,$A9,'分錄'!$E$5:$E$54,$C9)</f>
        <v/>
      </c>
      <c r="H9" s="3">
        <f>SUMIFS('分錄'!K$5:K$54,'分錄'!$A$5:$A$54,$A9,'分錄'!$E$5:$E$54,$C9)</f>
        <v/>
      </c>
      <c r="I9" s="3">
        <f>SUMIFS('分錄'!L$5:L$54,'分錄'!$A$5:$A$54,$A9,'分錄'!$E$5:$E$54,$C9)</f>
        <v/>
      </c>
      <c r="J9" s="3">
        <f>SUMIFS('分錄'!M$5:M$54,'分錄'!$A$5:$A$54,$A9,'分錄'!$E$5:$E$54,$C9)</f>
        <v/>
      </c>
      <c r="K9" s="3">
        <f>SUMIFS('分錄'!N$5:N$54,'分錄'!$A$5:$A$54,$A9,'分錄'!$E$5:$E$54,$C9)</f>
        <v/>
      </c>
      <c r="L9" s="3">
        <f>SUMIFS('分錄'!O$5:O$54,'分錄'!$A$5:$A$54,$A9,'分錄'!$E$5:$E$54,$C9)</f>
        <v/>
      </c>
      <c r="M9" s="3">
        <f>SUMIFS('分錄'!P$5:P$54,'分錄'!$A$5:$A$54,$A9,'分錄'!$E$5:$E$54,$C9)</f>
        <v/>
      </c>
      <c r="N9" s="3">
        <f>SUMIFS('分錄'!Q$5:Q$54,'分錄'!$A$5:$A$54,$A9,'分錄'!$E$5:$E$54,$C9)</f>
        <v/>
      </c>
      <c r="O9" s="3">
        <f>SUMIFS('分錄'!R$5:R$54,'分錄'!$A$5:$A$54,$A9,'分錄'!$E$5:$E$54,$C9)</f>
        <v/>
      </c>
      <c r="P9" s="3">
        <f>SUMIFS('分錄'!S$5:S$54,'分錄'!$A$5:$A$54,$A9,'分錄'!$E$5:$E$54,$C9)</f>
        <v/>
      </c>
      <c r="Q9" s="3">
        <f>SUMIFS('分錄'!T$5:T$54,'分錄'!$A$5:$A$54,$A9,'分錄'!$E$5:$E$54,$C9)</f>
        <v/>
      </c>
      <c r="R9" s="3">
        <f>SUMIFS('分錄'!U$5:U$54,'分錄'!$A$5:$A$54,$A9,'分錄'!$E$5:$E$54,$C9)</f>
        <v/>
      </c>
      <c r="S9" s="3">
        <f>SUMIFS('分錄'!V$5:V$54,'分錄'!$A$5:$A$54,$A9,'分錄'!$E$5:$E$54,$C9)</f>
        <v/>
      </c>
      <c r="T9" s="3">
        <f>SUMIFS('分錄'!W$5:W$54,'分錄'!$A$5:$A$54,$A9,'分錄'!$E$5:$E$54,$C9)</f>
        <v/>
      </c>
      <c r="U9" s="3">
        <f>SUMIFS('分錄'!X$5:X$54,'分錄'!$A$5:$A$54,$A9,'分錄'!$E$5:$E$54,$C9)</f>
        <v/>
      </c>
    </row>
    <row r="10">
      <c r="A10" t="inlineStr">
        <is>
          <t>內案</t>
        </is>
      </c>
      <c r="B10" t="inlineStr">
        <is>
          <t>P/L</t>
        </is>
      </c>
      <c r="C10" t="inlineStr">
        <is>
          <t>55110000</t>
        </is>
      </c>
      <c r="D10" t="inlineStr">
        <is>
          <t>承攬工程成本</t>
        </is>
      </c>
      <c r="E10" s="3">
        <f>SUMIFS('分錄'!H$5:H$54,'分錄'!$A$5:$A$54,$A10,'分錄'!$E$5:$E$54,$C10)</f>
        <v/>
      </c>
      <c r="F10" s="3">
        <f>SUMIFS('分錄'!I$5:I$54,'分錄'!$A$5:$A$54,$A10,'分錄'!$E$5:$E$54,$C10)</f>
        <v/>
      </c>
      <c r="G10" s="3">
        <f>SUMIFS('分錄'!J$5:J$54,'分錄'!$A$5:$A$54,$A10,'分錄'!$E$5:$E$54,$C10)</f>
        <v/>
      </c>
      <c r="H10" s="3">
        <f>SUMIFS('分錄'!K$5:K$54,'分錄'!$A$5:$A$54,$A10,'分錄'!$E$5:$E$54,$C10)</f>
        <v/>
      </c>
      <c r="I10" s="3">
        <f>SUMIFS('分錄'!L$5:L$54,'分錄'!$A$5:$A$54,$A10,'分錄'!$E$5:$E$54,$C10)</f>
        <v/>
      </c>
      <c r="J10" s="3">
        <f>SUMIFS('分錄'!M$5:M$54,'分錄'!$A$5:$A$54,$A10,'分錄'!$E$5:$E$54,$C10)</f>
        <v/>
      </c>
      <c r="K10" s="3">
        <f>SUMIFS('分錄'!N$5:N$54,'分錄'!$A$5:$A$54,$A10,'分錄'!$E$5:$E$54,$C10)</f>
        <v/>
      </c>
      <c r="L10" s="3">
        <f>SUMIFS('分錄'!O$5:O$54,'分錄'!$A$5:$A$54,$A10,'分錄'!$E$5:$E$54,$C10)</f>
        <v/>
      </c>
      <c r="M10" s="3">
        <f>SUMIFS('分錄'!P$5:P$54,'分錄'!$A$5:$A$54,$A10,'分錄'!$E$5:$E$54,$C10)</f>
        <v/>
      </c>
      <c r="N10" s="3">
        <f>SUMIFS('分錄'!Q$5:Q$54,'分錄'!$A$5:$A$54,$A10,'分錄'!$E$5:$E$54,$C10)</f>
        <v/>
      </c>
      <c r="O10" s="3">
        <f>SUMIFS('分錄'!R$5:R$54,'分錄'!$A$5:$A$54,$A10,'分錄'!$E$5:$E$54,$C10)</f>
        <v/>
      </c>
      <c r="P10" s="3">
        <f>SUMIFS('分錄'!S$5:S$54,'分錄'!$A$5:$A$54,$A10,'分錄'!$E$5:$E$54,$C10)</f>
        <v/>
      </c>
      <c r="Q10" s="3">
        <f>SUMIFS('分錄'!T$5:T$54,'分錄'!$A$5:$A$54,$A10,'分錄'!$E$5:$E$54,$C10)</f>
        <v/>
      </c>
      <c r="R10" s="3">
        <f>SUMIFS('分錄'!U$5:U$54,'分錄'!$A$5:$A$54,$A10,'分錄'!$E$5:$E$54,$C10)</f>
        <v/>
      </c>
      <c r="S10" s="3">
        <f>SUMIFS('分錄'!V$5:V$54,'分錄'!$A$5:$A$54,$A10,'分錄'!$E$5:$E$54,$C10)</f>
        <v/>
      </c>
      <c r="T10" s="3">
        <f>SUMIFS('分錄'!W$5:W$54,'分錄'!$A$5:$A$54,$A10,'分錄'!$E$5:$E$54,$C10)</f>
        <v/>
      </c>
      <c r="U10" s="3">
        <f>SUMIFS('分錄'!X$5:X$54,'分錄'!$A$5:$A$54,$A10,'分錄'!$E$5:$E$54,$C10)</f>
        <v/>
      </c>
    </row>
    <row r="11">
      <c r="A11" t="inlineStr">
        <is>
          <t>內案</t>
        </is>
      </c>
      <c r="B11" t="inlineStr">
        <is>
          <t>P/L</t>
        </is>
      </c>
      <c r="C11" t="inlineStr">
        <is>
          <t>63810030</t>
        </is>
      </c>
      <c r="D11" t="inlineStr">
        <is>
          <t>工程費用轉在建工程</t>
        </is>
      </c>
      <c r="E11" s="3">
        <f>SUMIFS('分錄'!H$5:H$54,'分錄'!$A$5:$A$54,$A11,'分錄'!$E$5:$E$54,$C11)</f>
        <v/>
      </c>
      <c r="F11" s="3">
        <f>SUMIFS('分錄'!I$5:I$54,'分錄'!$A$5:$A$54,$A11,'分錄'!$E$5:$E$54,$C11)</f>
        <v/>
      </c>
      <c r="G11" s="3">
        <f>SUMIFS('分錄'!J$5:J$54,'分錄'!$A$5:$A$54,$A11,'分錄'!$E$5:$E$54,$C11)</f>
        <v/>
      </c>
      <c r="H11" s="3">
        <f>SUMIFS('分錄'!K$5:K$54,'分錄'!$A$5:$A$54,$A11,'分錄'!$E$5:$E$54,$C11)</f>
        <v/>
      </c>
      <c r="I11" s="3">
        <f>SUMIFS('分錄'!L$5:L$54,'分錄'!$A$5:$A$54,$A11,'分錄'!$E$5:$E$54,$C11)</f>
        <v/>
      </c>
      <c r="J11" s="3">
        <f>SUMIFS('分錄'!M$5:M$54,'分錄'!$A$5:$A$54,$A11,'分錄'!$E$5:$E$54,$C11)</f>
        <v/>
      </c>
      <c r="K11" s="3">
        <f>SUMIFS('分錄'!N$5:N$54,'分錄'!$A$5:$A$54,$A11,'分錄'!$E$5:$E$54,$C11)</f>
        <v/>
      </c>
      <c r="L11" s="3">
        <f>SUMIFS('分錄'!O$5:O$54,'分錄'!$A$5:$A$54,$A11,'分錄'!$E$5:$E$54,$C11)</f>
        <v/>
      </c>
      <c r="M11" s="3">
        <f>SUMIFS('分錄'!P$5:P$54,'分錄'!$A$5:$A$54,$A11,'分錄'!$E$5:$E$54,$C11)</f>
        <v/>
      </c>
      <c r="N11" s="3">
        <f>SUMIFS('分錄'!Q$5:Q$54,'分錄'!$A$5:$A$54,$A11,'分錄'!$E$5:$E$54,$C11)</f>
        <v/>
      </c>
      <c r="O11" s="3">
        <f>SUMIFS('分錄'!R$5:R$54,'分錄'!$A$5:$A$54,$A11,'分錄'!$E$5:$E$54,$C11)</f>
        <v/>
      </c>
      <c r="P11" s="3">
        <f>SUMIFS('分錄'!S$5:S$54,'分錄'!$A$5:$A$54,$A11,'分錄'!$E$5:$E$54,$C11)</f>
        <v/>
      </c>
      <c r="Q11" s="3">
        <f>SUMIFS('分錄'!T$5:T$54,'分錄'!$A$5:$A$54,$A11,'分錄'!$E$5:$E$54,$C11)</f>
        <v/>
      </c>
      <c r="R11" s="3">
        <f>SUMIFS('分錄'!U$5:U$54,'分錄'!$A$5:$A$54,$A11,'分錄'!$E$5:$E$54,$C11)</f>
        <v/>
      </c>
      <c r="S11" s="3">
        <f>SUMIFS('分錄'!V$5:V$54,'分錄'!$A$5:$A$54,$A11,'分錄'!$E$5:$E$54,$C11)</f>
        <v/>
      </c>
      <c r="T11" s="3">
        <f>SUMIFS('分錄'!W$5:W$54,'分錄'!$A$5:$A$54,$A11,'分錄'!$E$5:$E$54,$C11)</f>
        <v/>
      </c>
      <c r="U11" s="3">
        <f>SUMIFS('分錄'!X$5:X$54,'分錄'!$A$5:$A$54,$A11,'分錄'!$E$5:$E$54,$C11)</f>
        <v/>
      </c>
    </row>
    <row r="12">
      <c r="A12" t="inlineStr">
        <is>
          <t>內案</t>
        </is>
      </c>
      <c r="D12" s="7" t="inlineStr">
        <is>
          <t>B/S 合計</t>
        </is>
      </c>
      <c r="E12" s="3">
        <f>SUMIFS(E4:E11,$B4:$B11,"B/S")</f>
        <v/>
      </c>
      <c r="F12" s="3">
        <f>SUMIFS(F4:F11,$B4:$B11,"B/S")</f>
        <v/>
      </c>
      <c r="G12" s="3">
        <f>SUMIFS(G4:G11,$B4:$B11,"B/S")</f>
        <v/>
      </c>
      <c r="H12" s="3">
        <f>SUMIFS(H4:H11,$B4:$B11,"B/S")</f>
        <v/>
      </c>
      <c r="I12" s="3">
        <f>SUMIFS(I4:I11,$B4:$B11,"B/S")</f>
        <v/>
      </c>
      <c r="J12" s="3">
        <f>SUMIFS(J4:J11,$B4:$B11,"B/S")</f>
        <v/>
      </c>
      <c r="K12" s="3">
        <f>SUMIFS(K4:K11,$B4:$B11,"B/S")</f>
        <v/>
      </c>
      <c r="L12" s="3">
        <f>SUMIFS(L4:L11,$B4:$B11,"B/S")</f>
        <v/>
      </c>
      <c r="M12" s="3">
        <f>SUMIFS(M4:M11,$B4:$B11,"B/S")</f>
        <v/>
      </c>
      <c r="N12" s="3">
        <f>SUMIFS(N4:N11,$B4:$B11,"B/S")</f>
        <v/>
      </c>
      <c r="O12" s="3">
        <f>SUMIFS(O4:O11,$B4:$B11,"B/S")</f>
        <v/>
      </c>
      <c r="P12" s="3">
        <f>SUMIFS(P4:P11,$B4:$B11,"B/S")</f>
        <v/>
      </c>
      <c r="Q12" s="3">
        <f>SUMIFS(Q4:Q11,$B4:$B11,"B/S")</f>
        <v/>
      </c>
      <c r="R12" s="3">
        <f>SUMIFS(R4:R11,$B4:$B11,"B/S")</f>
        <v/>
      </c>
      <c r="S12" s="3">
        <f>SUMIFS(S4:S11,$B4:$B11,"B/S")</f>
        <v/>
      </c>
      <c r="T12" s="3">
        <f>SUMIFS(T4:T11,$B4:$B11,"B/S")</f>
        <v/>
      </c>
      <c r="U12" s="3">
        <f>SUMIFS(U4:U11,$B4:$B11,"B/S")</f>
        <v/>
      </c>
    </row>
    <row r="13">
      <c r="A13" t="inlineStr">
        <is>
          <t>內案</t>
        </is>
      </c>
      <c r="D13" s="7" t="inlineStr">
        <is>
          <t>P/L 合計（本期損益，負＝利益）</t>
        </is>
      </c>
      <c r="E13" s="3">
        <f>SUMIFS(E4:E11,$B4:$B11,"P/L")</f>
        <v/>
      </c>
      <c r="F13" s="3">
        <f>SUMIFS(F4:F11,$B4:$B11,"P/L")</f>
        <v/>
      </c>
      <c r="G13" s="3">
        <f>SUMIFS(G4:G11,$B4:$B11,"P/L")</f>
        <v/>
      </c>
      <c r="H13" s="3">
        <f>SUMIFS(H4:H11,$B4:$B11,"P/L")</f>
        <v/>
      </c>
      <c r="I13" s="3">
        <f>SUMIFS(I4:I11,$B4:$B11,"P/L")</f>
        <v/>
      </c>
      <c r="J13" s="3">
        <f>SUMIFS(J4:J11,$B4:$B11,"P/L")</f>
        <v/>
      </c>
      <c r="K13" s="3">
        <f>SUMIFS(K4:K11,$B4:$B11,"P/L")</f>
        <v/>
      </c>
      <c r="L13" s="3">
        <f>SUMIFS(L4:L11,$B4:$B11,"P/L")</f>
        <v/>
      </c>
      <c r="M13" s="3">
        <f>SUMIFS(M4:M11,$B4:$B11,"P/L")</f>
        <v/>
      </c>
      <c r="N13" s="3">
        <f>SUMIFS(N4:N11,$B4:$B11,"P/L")</f>
        <v/>
      </c>
      <c r="O13" s="3">
        <f>SUMIFS(O4:O11,$B4:$B11,"P/L")</f>
        <v/>
      </c>
      <c r="P13" s="3">
        <f>SUMIFS(P4:P11,$B4:$B11,"P/L")</f>
        <v/>
      </c>
      <c r="Q13" s="3">
        <f>SUMIFS(Q4:Q11,$B4:$B11,"P/L")</f>
        <v/>
      </c>
      <c r="R13" s="3">
        <f>SUMIFS(R4:R11,$B4:$B11,"P/L")</f>
        <v/>
      </c>
      <c r="S13" s="3">
        <f>SUMIFS(S4:S11,$B4:$B11,"P/L")</f>
        <v/>
      </c>
      <c r="T13" s="3">
        <f>SUMIFS(T4:T11,$B4:$B11,"P/L")</f>
        <v/>
      </c>
      <c r="U13" s="3">
        <f>SUMIFS(U4:U11,$B4:$B11,"P/L")</f>
        <v/>
      </c>
    </row>
    <row r="14">
      <c r="A14" s="4" t="inlineStr">
        <is>
          <t>內案</t>
        </is>
      </c>
      <c r="B14" s="4" t="n"/>
      <c r="C14" s="4" t="n"/>
      <c r="D14" s="9" t="inlineStr">
        <is>
          <t>B/S＋P/L（應為0）</t>
        </is>
      </c>
      <c r="E14" s="10">
        <f>ROUND(E12+E13,2)</f>
        <v/>
      </c>
      <c r="F14" s="10">
        <f>ROUND(F12+F13,2)</f>
        <v/>
      </c>
      <c r="G14" s="10">
        <f>ROUND(G12+G13,2)</f>
        <v/>
      </c>
      <c r="H14" s="10">
        <f>ROUND(H12+H13,2)</f>
        <v/>
      </c>
      <c r="I14" s="10">
        <f>ROUND(I12+I13,2)</f>
        <v/>
      </c>
      <c r="J14" s="10">
        <f>ROUND(J12+J13,2)</f>
        <v/>
      </c>
      <c r="K14" s="10">
        <f>ROUND(K12+K13,2)</f>
        <v/>
      </c>
      <c r="L14" s="10">
        <f>ROUND(L12+L13,2)</f>
        <v/>
      </c>
      <c r="M14" s="10">
        <f>ROUND(M12+M13,2)</f>
        <v/>
      </c>
      <c r="N14" s="10">
        <f>ROUND(N12+N13,2)</f>
        <v/>
      </c>
      <c r="O14" s="10">
        <f>ROUND(O12+O13,2)</f>
        <v/>
      </c>
      <c r="P14" s="10">
        <f>ROUND(P12+P13,2)</f>
        <v/>
      </c>
      <c r="Q14" s="10">
        <f>ROUND(Q12+Q13,2)</f>
        <v/>
      </c>
      <c r="R14" s="10">
        <f>ROUND(R12+R13,2)</f>
        <v/>
      </c>
      <c r="S14" s="10">
        <f>ROUND(S12+S13,2)</f>
        <v/>
      </c>
      <c r="T14" s="10">
        <f>ROUND(T12+T13,2)</f>
        <v/>
      </c>
      <c r="U14" s="10">
        <f>ROUND(U12+U13,2)</f>
        <v/>
      </c>
    </row>
    <row r="16">
      <c r="A16" t="inlineStr">
        <is>
          <t>外案</t>
        </is>
      </c>
      <c r="B16" t="inlineStr">
        <is>
          <t>B/S</t>
        </is>
      </c>
      <c r="C16" t="inlineStr">
        <is>
          <t>12400000</t>
        </is>
      </c>
      <c r="D16" t="inlineStr">
        <is>
          <t>在建工程</t>
        </is>
      </c>
      <c r="E16" s="3">
        <f>SUMIFS('分錄'!H$5:H$54,'分錄'!$A$5:$A$54,$A16,'分錄'!$E$5:$E$54,$C16)</f>
        <v/>
      </c>
      <c r="F16" s="3">
        <f>SUMIFS('分錄'!I$5:I$54,'分錄'!$A$5:$A$54,$A16,'分錄'!$E$5:$E$54,$C16)</f>
        <v/>
      </c>
      <c r="G16" s="3">
        <f>SUMIFS('分錄'!J$5:J$54,'分錄'!$A$5:$A$54,$A16,'分錄'!$E$5:$E$54,$C16)</f>
        <v/>
      </c>
      <c r="H16" s="3">
        <f>SUMIFS('分錄'!K$5:K$54,'分錄'!$A$5:$A$54,$A16,'分錄'!$E$5:$E$54,$C16)</f>
        <v/>
      </c>
      <c r="I16" s="3">
        <f>SUMIFS('分錄'!L$5:L$54,'分錄'!$A$5:$A$54,$A16,'分錄'!$E$5:$E$54,$C16)</f>
        <v/>
      </c>
      <c r="J16" s="3">
        <f>SUMIFS('分錄'!M$5:M$54,'分錄'!$A$5:$A$54,$A16,'分錄'!$E$5:$E$54,$C16)</f>
        <v/>
      </c>
      <c r="K16" s="3">
        <f>SUMIFS('分錄'!N$5:N$54,'分錄'!$A$5:$A$54,$A16,'分錄'!$E$5:$E$54,$C16)</f>
        <v/>
      </c>
      <c r="L16" s="3">
        <f>SUMIFS('分錄'!O$5:O$54,'分錄'!$A$5:$A$54,$A16,'分錄'!$E$5:$E$54,$C16)</f>
        <v/>
      </c>
      <c r="M16" s="3">
        <f>SUMIFS('分錄'!P$5:P$54,'分錄'!$A$5:$A$54,$A16,'分錄'!$E$5:$E$54,$C16)</f>
        <v/>
      </c>
      <c r="N16" s="3">
        <f>SUMIFS('分錄'!Q$5:Q$54,'分錄'!$A$5:$A$54,$A16,'分錄'!$E$5:$E$54,$C16)</f>
        <v/>
      </c>
      <c r="O16" s="3">
        <f>SUMIFS('分錄'!R$5:R$54,'分錄'!$A$5:$A$54,$A16,'分錄'!$E$5:$E$54,$C16)</f>
        <v/>
      </c>
      <c r="P16" s="3">
        <f>SUMIFS('分錄'!S$5:S$54,'分錄'!$A$5:$A$54,$A16,'分錄'!$E$5:$E$54,$C16)</f>
        <v/>
      </c>
      <c r="Q16" s="3">
        <f>SUMIFS('分錄'!T$5:T$54,'分錄'!$A$5:$A$54,$A16,'分錄'!$E$5:$E$54,$C16)</f>
        <v/>
      </c>
      <c r="R16" s="3">
        <f>SUMIFS('分錄'!U$5:U$54,'分錄'!$A$5:$A$54,$A16,'分錄'!$E$5:$E$54,$C16)</f>
        <v/>
      </c>
      <c r="S16" s="3">
        <f>SUMIFS('分錄'!V$5:V$54,'分錄'!$A$5:$A$54,$A16,'分錄'!$E$5:$E$54,$C16)</f>
        <v/>
      </c>
      <c r="T16" s="3">
        <f>SUMIFS('分錄'!W$5:W$54,'分錄'!$A$5:$A$54,$A16,'分錄'!$E$5:$E$54,$C16)</f>
        <v/>
      </c>
      <c r="U16" s="3">
        <f>SUMIFS('分錄'!X$5:X$54,'分錄'!$A$5:$A$54,$A16,'分錄'!$E$5:$E$54,$C16)</f>
        <v/>
      </c>
    </row>
    <row r="17">
      <c r="A17" t="inlineStr">
        <is>
          <t>外案</t>
        </is>
      </c>
      <c r="B17" t="inlineStr">
        <is>
          <t>B/S</t>
        </is>
      </c>
      <c r="C17" t="inlineStr">
        <is>
          <t>12470000</t>
        </is>
      </c>
      <c r="D17" t="inlineStr">
        <is>
          <t>在建損益-承攬案</t>
        </is>
      </c>
      <c r="E17" s="3">
        <f>SUMIFS('分錄'!H$5:H$54,'分錄'!$A$5:$A$54,$A17,'分錄'!$E$5:$E$54,$C17)</f>
        <v/>
      </c>
      <c r="F17" s="3">
        <f>SUMIFS('分錄'!I$5:I$54,'分錄'!$A$5:$A$54,$A17,'分錄'!$E$5:$E$54,$C17)</f>
        <v/>
      </c>
      <c r="G17" s="3">
        <f>SUMIFS('分錄'!J$5:J$54,'分錄'!$A$5:$A$54,$A17,'分錄'!$E$5:$E$54,$C17)</f>
        <v/>
      </c>
      <c r="H17" s="3">
        <f>SUMIFS('分錄'!K$5:K$54,'分錄'!$A$5:$A$54,$A17,'分錄'!$E$5:$E$54,$C17)</f>
        <v/>
      </c>
      <c r="I17" s="3">
        <f>SUMIFS('分錄'!L$5:L$54,'分錄'!$A$5:$A$54,$A17,'分錄'!$E$5:$E$54,$C17)</f>
        <v/>
      </c>
      <c r="J17" s="3">
        <f>SUMIFS('分錄'!M$5:M$54,'分錄'!$A$5:$A$54,$A17,'分錄'!$E$5:$E$54,$C17)</f>
        <v/>
      </c>
      <c r="K17" s="3">
        <f>SUMIFS('分錄'!N$5:N$54,'分錄'!$A$5:$A$54,$A17,'分錄'!$E$5:$E$54,$C17)</f>
        <v/>
      </c>
      <c r="L17" s="3">
        <f>SUMIFS('分錄'!O$5:O$54,'分錄'!$A$5:$A$54,$A17,'分錄'!$E$5:$E$54,$C17)</f>
        <v/>
      </c>
      <c r="M17" s="3">
        <f>SUMIFS('分錄'!P$5:P$54,'分錄'!$A$5:$A$54,$A17,'分錄'!$E$5:$E$54,$C17)</f>
        <v/>
      </c>
      <c r="N17" s="3">
        <f>SUMIFS('分錄'!Q$5:Q$54,'分錄'!$A$5:$A$54,$A17,'分錄'!$E$5:$E$54,$C17)</f>
        <v/>
      </c>
      <c r="O17" s="3">
        <f>SUMIFS('分錄'!R$5:R$54,'分錄'!$A$5:$A$54,$A17,'分錄'!$E$5:$E$54,$C17)</f>
        <v/>
      </c>
      <c r="P17" s="3">
        <f>SUMIFS('分錄'!S$5:S$54,'分錄'!$A$5:$A$54,$A17,'分錄'!$E$5:$E$54,$C17)</f>
        <v/>
      </c>
      <c r="Q17" s="3">
        <f>SUMIFS('分錄'!T$5:T$54,'分錄'!$A$5:$A$54,$A17,'分錄'!$E$5:$E$54,$C17)</f>
        <v/>
      </c>
      <c r="R17" s="3">
        <f>SUMIFS('分錄'!U$5:U$54,'分錄'!$A$5:$A$54,$A17,'分錄'!$E$5:$E$54,$C17)</f>
        <v/>
      </c>
      <c r="S17" s="3">
        <f>SUMIFS('分錄'!V$5:V$54,'分錄'!$A$5:$A$54,$A17,'分錄'!$E$5:$E$54,$C17)</f>
        <v/>
      </c>
      <c r="T17" s="3">
        <f>SUMIFS('分錄'!W$5:W$54,'分錄'!$A$5:$A$54,$A17,'分錄'!$E$5:$E$54,$C17)</f>
        <v/>
      </c>
      <c r="U17" s="3">
        <f>SUMIFS('分錄'!X$5:X$54,'分錄'!$A$5:$A$54,$A17,'分錄'!$E$5:$E$54,$C17)</f>
        <v/>
      </c>
    </row>
    <row r="18">
      <c r="A18" t="inlineStr">
        <is>
          <t>外案</t>
        </is>
      </c>
      <c r="B18" t="inlineStr">
        <is>
          <t>B/S</t>
        </is>
      </c>
      <c r="C18" t="inlineStr">
        <is>
          <t>22640000</t>
        </is>
      </c>
      <c r="D18" t="inlineStr">
        <is>
          <t>預收工程款</t>
        </is>
      </c>
      <c r="E18" s="3">
        <f>SUMIFS('分錄'!H$5:H$54,'分錄'!$A$5:$A$54,$A18,'分錄'!$E$5:$E$54,$C18)</f>
        <v/>
      </c>
      <c r="F18" s="3">
        <f>SUMIFS('分錄'!I$5:I$54,'分錄'!$A$5:$A$54,$A18,'分錄'!$E$5:$E$54,$C18)</f>
        <v/>
      </c>
      <c r="G18" s="3">
        <f>SUMIFS('分錄'!J$5:J$54,'分錄'!$A$5:$A$54,$A18,'分錄'!$E$5:$E$54,$C18)</f>
        <v/>
      </c>
      <c r="H18" s="3">
        <f>SUMIFS('分錄'!K$5:K$54,'分錄'!$A$5:$A$54,$A18,'分錄'!$E$5:$E$54,$C18)</f>
        <v/>
      </c>
      <c r="I18" s="3">
        <f>SUMIFS('分錄'!L$5:L$54,'分錄'!$A$5:$A$54,$A18,'分錄'!$E$5:$E$54,$C18)</f>
        <v/>
      </c>
      <c r="J18" s="3">
        <f>SUMIFS('分錄'!M$5:M$54,'分錄'!$A$5:$A$54,$A18,'分錄'!$E$5:$E$54,$C18)</f>
        <v/>
      </c>
      <c r="K18" s="3">
        <f>SUMIFS('分錄'!N$5:N$54,'分錄'!$A$5:$A$54,$A18,'分錄'!$E$5:$E$54,$C18)</f>
        <v/>
      </c>
      <c r="L18" s="3">
        <f>SUMIFS('分錄'!O$5:O$54,'分錄'!$A$5:$A$54,$A18,'分錄'!$E$5:$E$54,$C18)</f>
        <v/>
      </c>
      <c r="M18" s="3">
        <f>SUMIFS('分錄'!P$5:P$54,'分錄'!$A$5:$A$54,$A18,'分錄'!$E$5:$E$54,$C18)</f>
        <v/>
      </c>
      <c r="N18" s="3">
        <f>SUMIFS('分錄'!Q$5:Q$54,'分錄'!$A$5:$A$54,$A18,'分錄'!$E$5:$E$54,$C18)</f>
        <v/>
      </c>
      <c r="O18" s="3">
        <f>SUMIFS('分錄'!R$5:R$54,'分錄'!$A$5:$A$54,$A18,'分錄'!$E$5:$E$54,$C18)</f>
        <v/>
      </c>
      <c r="P18" s="3">
        <f>SUMIFS('分錄'!S$5:S$54,'分錄'!$A$5:$A$54,$A18,'分錄'!$E$5:$E$54,$C18)</f>
        <v/>
      </c>
      <c r="Q18" s="3">
        <f>SUMIFS('分錄'!T$5:T$54,'分錄'!$A$5:$A$54,$A18,'分錄'!$E$5:$E$54,$C18)</f>
        <v/>
      </c>
      <c r="R18" s="3">
        <f>SUMIFS('分錄'!U$5:U$54,'分錄'!$A$5:$A$54,$A18,'分錄'!$E$5:$E$54,$C18)</f>
        <v/>
      </c>
      <c r="S18" s="3">
        <f>SUMIFS('分錄'!V$5:V$54,'分錄'!$A$5:$A$54,$A18,'分錄'!$E$5:$E$54,$C18)</f>
        <v/>
      </c>
      <c r="T18" s="3">
        <f>SUMIFS('分錄'!W$5:W$54,'分錄'!$A$5:$A$54,$A18,'分錄'!$E$5:$E$54,$C18)</f>
        <v/>
      </c>
      <c r="U18" s="3">
        <f>SUMIFS('分錄'!X$5:X$54,'分錄'!$A$5:$A$54,$A18,'分錄'!$E$5:$E$54,$C18)</f>
        <v/>
      </c>
    </row>
    <row r="19">
      <c r="A19" t="inlineStr">
        <is>
          <t>外案</t>
        </is>
      </c>
      <c r="B19" t="inlineStr">
        <is>
          <t>B/S</t>
        </is>
      </c>
      <c r="C19" t="inlineStr">
        <is>
          <t>11430000</t>
        </is>
      </c>
      <c r="D19" t="inlineStr">
        <is>
          <t>應收帳款</t>
        </is>
      </c>
      <c r="E19" s="3">
        <f>SUMIFS('分錄'!H$5:H$54,'分錄'!$A$5:$A$54,$A19,'分錄'!$E$5:$E$54,$C19)</f>
        <v/>
      </c>
      <c r="F19" s="3">
        <f>SUMIFS('分錄'!I$5:I$54,'分錄'!$A$5:$A$54,$A19,'分錄'!$E$5:$E$54,$C19)</f>
        <v/>
      </c>
      <c r="G19" s="3">
        <f>SUMIFS('分錄'!J$5:J$54,'分錄'!$A$5:$A$54,$A19,'分錄'!$E$5:$E$54,$C19)</f>
        <v/>
      </c>
      <c r="H19" s="3">
        <f>SUMIFS('分錄'!K$5:K$54,'分錄'!$A$5:$A$54,$A19,'分錄'!$E$5:$E$54,$C19)</f>
        <v/>
      </c>
      <c r="I19" s="3">
        <f>SUMIFS('分錄'!L$5:L$54,'分錄'!$A$5:$A$54,$A19,'分錄'!$E$5:$E$54,$C19)</f>
        <v/>
      </c>
      <c r="J19" s="3">
        <f>SUMIFS('分錄'!M$5:M$54,'分錄'!$A$5:$A$54,$A19,'分錄'!$E$5:$E$54,$C19)</f>
        <v/>
      </c>
      <c r="K19" s="3">
        <f>SUMIFS('分錄'!N$5:N$54,'分錄'!$A$5:$A$54,$A19,'分錄'!$E$5:$E$54,$C19)</f>
        <v/>
      </c>
      <c r="L19" s="3">
        <f>SUMIFS('分錄'!O$5:O$54,'分錄'!$A$5:$A$54,$A19,'分錄'!$E$5:$E$54,$C19)</f>
        <v/>
      </c>
      <c r="M19" s="3">
        <f>SUMIFS('分錄'!P$5:P$54,'分錄'!$A$5:$A$54,$A19,'分錄'!$E$5:$E$54,$C19)</f>
        <v/>
      </c>
      <c r="N19" s="3">
        <f>SUMIFS('分錄'!Q$5:Q$54,'分錄'!$A$5:$A$54,$A19,'分錄'!$E$5:$E$54,$C19)</f>
        <v/>
      </c>
      <c r="O19" s="3">
        <f>SUMIFS('分錄'!R$5:R$54,'分錄'!$A$5:$A$54,$A19,'分錄'!$E$5:$E$54,$C19)</f>
        <v/>
      </c>
      <c r="P19" s="3">
        <f>SUMIFS('分錄'!S$5:S$54,'分錄'!$A$5:$A$54,$A19,'分錄'!$E$5:$E$54,$C19)</f>
        <v/>
      </c>
      <c r="Q19" s="3">
        <f>SUMIFS('分錄'!T$5:T$54,'分錄'!$A$5:$A$54,$A19,'分錄'!$E$5:$E$54,$C19)</f>
        <v/>
      </c>
      <c r="R19" s="3">
        <f>SUMIFS('分錄'!U$5:U$54,'分錄'!$A$5:$A$54,$A19,'分錄'!$E$5:$E$54,$C19)</f>
        <v/>
      </c>
      <c r="S19" s="3">
        <f>SUMIFS('分錄'!V$5:V$54,'分錄'!$A$5:$A$54,$A19,'分錄'!$E$5:$E$54,$C19)</f>
        <v/>
      </c>
      <c r="T19" s="3">
        <f>SUMIFS('分錄'!W$5:W$54,'分錄'!$A$5:$A$54,$A19,'分錄'!$E$5:$E$54,$C19)</f>
        <v/>
      </c>
      <c r="U19" s="3">
        <f>SUMIFS('分錄'!X$5:X$54,'分錄'!$A$5:$A$54,$A19,'分錄'!$E$5:$E$54,$C19)</f>
        <v/>
      </c>
    </row>
    <row r="20">
      <c r="A20" t="inlineStr">
        <is>
          <t>外案</t>
        </is>
      </c>
      <c r="B20" t="inlineStr">
        <is>
          <t>B/S</t>
        </is>
      </c>
      <c r="C20" t="inlineStr">
        <is>
          <t>22140000</t>
        </is>
      </c>
      <c r="D20" t="inlineStr">
        <is>
          <t>銷項稅額</t>
        </is>
      </c>
      <c r="E20" s="3">
        <f>SUMIFS('分錄'!H$5:H$54,'分錄'!$A$5:$A$54,$A20,'分錄'!$E$5:$E$54,$C20)</f>
        <v/>
      </c>
      <c r="F20" s="3">
        <f>SUMIFS('分錄'!I$5:I$54,'分錄'!$A$5:$A$54,$A20,'分錄'!$E$5:$E$54,$C20)</f>
        <v/>
      </c>
      <c r="G20" s="3">
        <f>SUMIFS('分錄'!J$5:J$54,'分錄'!$A$5:$A$54,$A20,'分錄'!$E$5:$E$54,$C20)</f>
        <v/>
      </c>
      <c r="H20" s="3">
        <f>SUMIFS('分錄'!K$5:K$54,'分錄'!$A$5:$A$54,$A20,'分錄'!$E$5:$E$54,$C20)</f>
        <v/>
      </c>
      <c r="I20" s="3">
        <f>SUMIFS('分錄'!L$5:L$54,'分錄'!$A$5:$A$54,$A20,'分錄'!$E$5:$E$54,$C20)</f>
        <v/>
      </c>
      <c r="J20" s="3">
        <f>SUMIFS('分錄'!M$5:M$54,'分錄'!$A$5:$A$54,$A20,'分錄'!$E$5:$E$54,$C20)</f>
        <v/>
      </c>
      <c r="K20" s="3">
        <f>SUMIFS('分錄'!N$5:N$54,'分錄'!$A$5:$A$54,$A20,'分錄'!$E$5:$E$54,$C20)</f>
        <v/>
      </c>
      <c r="L20" s="3">
        <f>SUMIFS('分錄'!O$5:O$54,'分錄'!$A$5:$A$54,$A20,'分錄'!$E$5:$E$54,$C20)</f>
        <v/>
      </c>
      <c r="M20" s="3">
        <f>SUMIFS('分錄'!P$5:P$54,'分錄'!$A$5:$A$54,$A20,'分錄'!$E$5:$E$54,$C20)</f>
        <v/>
      </c>
      <c r="N20" s="3">
        <f>SUMIFS('分錄'!Q$5:Q$54,'分錄'!$A$5:$A$54,$A20,'分錄'!$E$5:$E$54,$C20)</f>
        <v/>
      </c>
      <c r="O20" s="3">
        <f>SUMIFS('分錄'!R$5:R$54,'分錄'!$A$5:$A$54,$A20,'分錄'!$E$5:$E$54,$C20)</f>
        <v/>
      </c>
      <c r="P20" s="3">
        <f>SUMIFS('分錄'!S$5:S$54,'分錄'!$A$5:$A$54,$A20,'分錄'!$E$5:$E$54,$C20)</f>
        <v/>
      </c>
      <c r="Q20" s="3">
        <f>SUMIFS('分錄'!T$5:T$54,'分錄'!$A$5:$A$54,$A20,'分錄'!$E$5:$E$54,$C20)</f>
        <v/>
      </c>
      <c r="R20" s="3">
        <f>SUMIFS('分錄'!U$5:U$54,'分錄'!$A$5:$A$54,$A20,'分錄'!$E$5:$E$54,$C20)</f>
        <v/>
      </c>
      <c r="S20" s="3">
        <f>SUMIFS('分錄'!V$5:V$54,'分錄'!$A$5:$A$54,$A20,'分錄'!$E$5:$E$54,$C20)</f>
        <v/>
      </c>
      <c r="T20" s="3">
        <f>SUMIFS('分錄'!W$5:W$54,'分錄'!$A$5:$A$54,$A20,'分錄'!$E$5:$E$54,$C20)</f>
        <v/>
      </c>
      <c r="U20" s="3">
        <f>SUMIFS('分錄'!X$5:X$54,'分錄'!$A$5:$A$54,$A20,'分錄'!$E$5:$E$54,$C20)</f>
        <v/>
      </c>
    </row>
    <row r="21">
      <c r="A21" t="inlineStr">
        <is>
          <t>外案</t>
        </is>
      </c>
      <c r="B21" t="inlineStr">
        <is>
          <t>B/S</t>
        </is>
      </c>
      <c r="D21" t="inlineStr">
        <is>
          <t>負債準備-在建損失</t>
        </is>
      </c>
      <c r="E21" s="3">
        <f>SUMIFS('分錄'!H$5:H$54,'分錄'!$A$5:$A$54,$A21,'分錄'!$F$5:$F$54,$D21)</f>
        <v/>
      </c>
      <c r="F21" s="3">
        <f>SUMIFS('分錄'!I$5:I$54,'分錄'!$A$5:$A$54,$A21,'分錄'!$F$5:$F$54,$D21)</f>
        <v/>
      </c>
      <c r="G21" s="3">
        <f>SUMIFS('分錄'!J$5:J$54,'分錄'!$A$5:$A$54,$A21,'分錄'!$F$5:$F$54,$D21)</f>
        <v/>
      </c>
      <c r="H21" s="3">
        <f>SUMIFS('分錄'!K$5:K$54,'分錄'!$A$5:$A$54,$A21,'分錄'!$F$5:$F$54,$D21)</f>
        <v/>
      </c>
      <c r="I21" s="3">
        <f>SUMIFS('分錄'!L$5:L$54,'分錄'!$A$5:$A$54,$A21,'分錄'!$F$5:$F$54,$D21)</f>
        <v/>
      </c>
      <c r="J21" s="3">
        <f>SUMIFS('分錄'!M$5:M$54,'分錄'!$A$5:$A$54,$A21,'分錄'!$F$5:$F$54,$D21)</f>
        <v/>
      </c>
      <c r="K21" s="3">
        <f>SUMIFS('分錄'!N$5:N$54,'分錄'!$A$5:$A$54,$A21,'分錄'!$F$5:$F$54,$D21)</f>
        <v/>
      </c>
      <c r="L21" s="3">
        <f>SUMIFS('分錄'!O$5:O$54,'分錄'!$A$5:$A$54,$A21,'分錄'!$F$5:$F$54,$D21)</f>
        <v/>
      </c>
      <c r="M21" s="3">
        <f>SUMIFS('分錄'!P$5:P$54,'分錄'!$A$5:$A$54,$A21,'分錄'!$F$5:$F$54,$D21)</f>
        <v/>
      </c>
      <c r="N21" s="3">
        <f>SUMIFS('分錄'!Q$5:Q$54,'分錄'!$A$5:$A$54,$A21,'分錄'!$F$5:$F$54,$D21)</f>
        <v/>
      </c>
      <c r="O21" s="3">
        <f>SUMIFS('分錄'!R$5:R$54,'分錄'!$A$5:$A$54,$A21,'分錄'!$F$5:$F$54,$D21)</f>
        <v/>
      </c>
      <c r="P21" s="3">
        <f>SUMIFS('分錄'!S$5:S$54,'分錄'!$A$5:$A$54,$A21,'分錄'!$F$5:$F$54,$D21)</f>
        <v/>
      </c>
      <c r="Q21" s="3">
        <f>SUMIFS('分錄'!T$5:T$54,'分錄'!$A$5:$A$54,$A21,'分錄'!$F$5:$F$54,$D21)</f>
        <v/>
      </c>
      <c r="R21" s="3">
        <f>SUMIFS('分錄'!U$5:U$54,'分錄'!$A$5:$A$54,$A21,'分錄'!$F$5:$F$54,$D21)</f>
        <v/>
      </c>
      <c r="S21" s="3">
        <f>SUMIFS('分錄'!V$5:V$54,'分錄'!$A$5:$A$54,$A21,'分錄'!$F$5:$F$54,$D21)</f>
        <v/>
      </c>
      <c r="T21" s="3">
        <f>SUMIFS('分錄'!W$5:W$54,'分錄'!$A$5:$A$54,$A21,'分錄'!$F$5:$F$54,$D21)</f>
        <v/>
      </c>
      <c r="U21" s="3">
        <f>SUMIFS('分錄'!X$5:X$54,'分錄'!$A$5:$A$54,$A21,'分錄'!$F$5:$F$54,$D21)</f>
        <v/>
      </c>
    </row>
    <row r="22">
      <c r="A22" t="inlineStr">
        <is>
          <t>外案</t>
        </is>
      </c>
      <c r="B22" t="inlineStr">
        <is>
          <t>P/L</t>
        </is>
      </c>
      <c r="C22" t="inlineStr">
        <is>
          <t>45110000</t>
        </is>
      </c>
      <c r="D22" t="inlineStr">
        <is>
          <t>承攬工程收入</t>
        </is>
      </c>
      <c r="E22" s="3">
        <f>SUMIFS('分錄'!H$5:H$54,'分錄'!$A$5:$A$54,$A22,'分錄'!$E$5:$E$54,$C22)</f>
        <v/>
      </c>
      <c r="F22" s="3">
        <f>SUMIFS('分錄'!I$5:I$54,'分錄'!$A$5:$A$54,$A22,'分錄'!$E$5:$E$54,$C22)</f>
        <v/>
      </c>
      <c r="G22" s="3">
        <f>SUMIFS('分錄'!J$5:J$54,'分錄'!$A$5:$A$54,$A22,'分錄'!$E$5:$E$54,$C22)</f>
        <v/>
      </c>
      <c r="H22" s="3">
        <f>SUMIFS('分錄'!K$5:K$54,'分錄'!$A$5:$A$54,$A22,'分錄'!$E$5:$E$54,$C22)</f>
        <v/>
      </c>
      <c r="I22" s="3">
        <f>SUMIFS('分錄'!L$5:L$54,'分錄'!$A$5:$A$54,$A22,'分錄'!$E$5:$E$54,$C22)</f>
        <v/>
      </c>
      <c r="J22" s="3">
        <f>SUMIFS('分錄'!M$5:M$54,'分錄'!$A$5:$A$54,$A22,'分錄'!$E$5:$E$54,$C22)</f>
        <v/>
      </c>
      <c r="K22" s="3">
        <f>SUMIFS('分錄'!N$5:N$54,'分錄'!$A$5:$A$54,$A22,'分錄'!$E$5:$E$54,$C22)</f>
        <v/>
      </c>
      <c r="L22" s="3">
        <f>SUMIFS('分錄'!O$5:O$54,'分錄'!$A$5:$A$54,$A22,'分錄'!$E$5:$E$54,$C22)</f>
        <v/>
      </c>
      <c r="M22" s="3">
        <f>SUMIFS('分錄'!P$5:P$54,'分錄'!$A$5:$A$54,$A22,'分錄'!$E$5:$E$54,$C22)</f>
        <v/>
      </c>
      <c r="N22" s="3">
        <f>SUMIFS('分錄'!Q$5:Q$54,'分錄'!$A$5:$A$54,$A22,'分錄'!$E$5:$E$54,$C22)</f>
        <v/>
      </c>
      <c r="O22" s="3">
        <f>SUMIFS('分錄'!R$5:R$54,'分錄'!$A$5:$A$54,$A22,'分錄'!$E$5:$E$54,$C22)</f>
        <v/>
      </c>
      <c r="P22" s="3">
        <f>SUMIFS('分錄'!S$5:S$54,'分錄'!$A$5:$A$54,$A22,'分錄'!$E$5:$E$54,$C22)</f>
        <v/>
      </c>
      <c r="Q22" s="3">
        <f>SUMIFS('分錄'!T$5:T$54,'分錄'!$A$5:$A$54,$A22,'分錄'!$E$5:$E$54,$C22)</f>
        <v/>
      </c>
      <c r="R22" s="3">
        <f>SUMIFS('分錄'!U$5:U$54,'分錄'!$A$5:$A$54,$A22,'分錄'!$E$5:$E$54,$C22)</f>
        <v/>
      </c>
      <c r="S22" s="3">
        <f>SUMIFS('分錄'!V$5:V$54,'分錄'!$A$5:$A$54,$A22,'分錄'!$E$5:$E$54,$C22)</f>
        <v/>
      </c>
      <c r="T22" s="3">
        <f>SUMIFS('分錄'!W$5:W$54,'分錄'!$A$5:$A$54,$A22,'分錄'!$E$5:$E$54,$C22)</f>
        <v/>
      </c>
      <c r="U22" s="3">
        <f>SUMIFS('分錄'!X$5:X$54,'分錄'!$A$5:$A$54,$A22,'分錄'!$E$5:$E$54,$C22)</f>
        <v/>
      </c>
    </row>
    <row r="23">
      <c r="A23" t="inlineStr">
        <is>
          <t>外案</t>
        </is>
      </c>
      <c r="B23" t="inlineStr">
        <is>
          <t>P/L</t>
        </is>
      </c>
      <c r="C23" t="inlineStr">
        <is>
          <t>55110000</t>
        </is>
      </c>
      <c r="D23" t="inlineStr">
        <is>
          <t>承攬工程成本</t>
        </is>
      </c>
      <c r="E23" s="3">
        <f>SUMIFS('分錄'!H$5:H$54,'分錄'!$A$5:$A$54,$A23,'分錄'!$E$5:$E$54,$C23)</f>
        <v/>
      </c>
      <c r="F23" s="3">
        <f>SUMIFS('分錄'!I$5:I$54,'分錄'!$A$5:$A$54,$A23,'分錄'!$E$5:$E$54,$C23)</f>
        <v/>
      </c>
      <c r="G23" s="3">
        <f>SUMIFS('分錄'!J$5:J$54,'分錄'!$A$5:$A$54,$A23,'分錄'!$E$5:$E$54,$C23)</f>
        <v/>
      </c>
      <c r="H23" s="3">
        <f>SUMIFS('分錄'!K$5:K$54,'分錄'!$A$5:$A$54,$A23,'分錄'!$E$5:$E$54,$C23)</f>
        <v/>
      </c>
      <c r="I23" s="3">
        <f>SUMIFS('分錄'!L$5:L$54,'分錄'!$A$5:$A$54,$A23,'分錄'!$E$5:$E$54,$C23)</f>
        <v/>
      </c>
      <c r="J23" s="3">
        <f>SUMIFS('分錄'!M$5:M$54,'分錄'!$A$5:$A$54,$A23,'分錄'!$E$5:$E$54,$C23)</f>
        <v/>
      </c>
      <c r="K23" s="3">
        <f>SUMIFS('分錄'!N$5:N$54,'分錄'!$A$5:$A$54,$A23,'分錄'!$E$5:$E$54,$C23)</f>
        <v/>
      </c>
      <c r="L23" s="3">
        <f>SUMIFS('分錄'!O$5:O$54,'分錄'!$A$5:$A$54,$A23,'分錄'!$E$5:$E$54,$C23)</f>
        <v/>
      </c>
      <c r="M23" s="3">
        <f>SUMIFS('分錄'!P$5:P$54,'分錄'!$A$5:$A$54,$A23,'分錄'!$E$5:$E$54,$C23)</f>
        <v/>
      </c>
      <c r="N23" s="3">
        <f>SUMIFS('分錄'!Q$5:Q$54,'分錄'!$A$5:$A$54,$A23,'分錄'!$E$5:$E$54,$C23)</f>
        <v/>
      </c>
      <c r="O23" s="3">
        <f>SUMIFS('分錄'!R$5:R$54,'分錄'!$A$5:$A$54,$A23,'分錄'!$E$5:$E$54,$C23)</f>
        <v/>
      </c>
      <c r="P23" s="3">
        <f>SUMIFS('分錄'!S$5:S$54,'分錄'!$A$5:$A$54,$A23,'分錄'!$E$5:$E$54,$C23)</f>
        <v/>
      </c>
      <c r="Q23" s="3">
        <f>SUMIFS('分錄'!T$5:T$54,'分錄'!$A$5:$A$54,$A23,'分錄'!$E$5:$E$54,$C23)</f>
        <v/>
      </c>
      <c r="R23" s="3">
        <f>SUMIFS('分錄'!U$5:U$54,'分錄'!$A$5:$A$54,$A23,'分錄'!$E$5:$E$54,$C23)</f>
        <v/>
      </c>
      <c r="S23" s="3">
        <f>SUMIFS('分錄'!V$5:V$54,'分錄'!$A$5:$A$54,$A23,'分錄'!$E$5:$E$54,$C23)</f>
        <v/>
      </c>
      <c r="T23" s="3">
        <f>SUMIFS('分錄'!W$5:W$54,'分錄'!$A$5:$A$54,$A23,'分錄'!$E$5:$E$54,$C23)</f>
        <v/>
      </c>
      <c r="U23" s="3">
        <f>SUMIFS('分錄'!X$5:X$54,'分錄'!$A$5:$A$54,$A23,'分錄'!$E$5:$E$54,$C23)</f>
        <v/>
      </c>
    </row>
    <row r="24">
      <c r="A24" t="inlineStr">
        <is>
          <t>外案</t>
        </is>
      </c>
      <c r="B24" t="inlineStr">
        <is>
          <t>P/L</t>
        </is>
      </c>
      <c r="C24" t="inlineStr">
        <is>
          <t>63810030</t>
        </is>
      </c>
      <c r="D24" t="inlineStr">
        <is>
          <t>工程費用轉在建工程</t>
        </is>
      </c>
      <c r="E24" s="3">
        <f>SUMIFS('分錄'!H$5:H$54,'分錄'!$A$5:$A$54,$A24,'分錄'!$E$5:$E$54,$C24)</f>
        <v/>
      </c>
      <c r="F24" s="3">
        <f>SUMIFS('分錄'!I$5:I$54,'分錄'!$A$5:$A$54,$A24,'分錄'!$E$5:$E$54,$C24)</f>
        <v/>
      </c>
      <c r="G24" s="3">
        <f>SUMIFS('分錄'!J$5:J$54,'分錄'!$A$5:$A$54,$A24,'分錄'!$E$5:$E$54,$C24)</f>
        <v/>
      </c>
      <c r="H24" s="3">
        <f>SUMIFS('分錄'!K$5:K$54,'分錄'!$A$5:$A$54,$A24,'分錄'!$E$5:$E$54,$C24)</f>
        <v/>
      </c>
      <c r="I24" s="3">
        <f>SUMIFS('分錄'!L$5:L$54,'分錄'!$A$5:$A$54,$A24,'分錄'!$E$5:$E$54,$C24)</f>
        <v/>
      </c>
      <c r="J24" s="3">
        <f>SUMIFS('分錄'!M$5:M$54,'分錄'!$A$5:$A$54,$A24,'分錄'!$E$5:$E$54,$C24)</f>
        <v/>
      </c>
      <c r="K24" s="3">
        <f>SUMIFS('分錄'!N$5:N$54,'分錄'!$A$5:$A$54,$A24,'分錄'!$E$5:$E$54,$C24)</f>
        <v/>
      </c>
      <c r="L24" s="3">
        <f>SUMIFS('分錄'!O$5:O$54,'分錄'!$A$5:$A$54,$A24,'分錄'!$E$5:$E$54,$C24)</f>
        <v/>
      </c>
      <c r="M24" s="3">
        <f>SUMIFS('分錄'!P$5:P$54,'分錄'!$A$5:$A$54,$A24,'分錄'!$E$5:$E$54,$C24)</f>
        <v/>
      </c>
      <c r="N24" s="3">
        <f>SUMIFS('分錄'!Q$5:Q$54,'分錄'!$A$5:$A$54,$A24,'分錄'!$E$5:$E$54,$C24)</f>
        <v/>
      </c>
      <c r="O24" s="3">
        <f>SUMIFS('分錄'!R$5:R$54,'分錄'!$A$5:$A$54,$A24,'分錄'!$E$5:$E$54,$C24)</f>
        <v/>
      </c>
      <c r="P24" s="3">
        <f>SUMIFS('分錄'!S$5:S$54,'分錄'!$A$5:$A$54,$A24,'分錄'!$E$5:$E$54,$C24)</f>
        <v/>
      </c>
      <c r="Q24" s="3">
        <f>SUMIFS('分錄'!T$5:T$54,'分錄'!$A$5:$A$54,$A24,'分錄'!$E$5:$E$54,$C24)</f>
        <v/>
      </c>
      <c r="R24" s="3">
        <f>SUMIFS('分錄'!U$5:U$54,'分錄'!$A$5:$A$54,$A24,'分錄'!$E$5:$E$54,$C24)</f>
        <v/>
      </c>
      <c r="S24" s="3">
        <f>SUMIFS('分錄'!V$5:V$54,'分錄'!$A$5:$A$54,$A24,'分錄'!$E$5:$E$54,$C24)</f>
        <v/>
      </c>
      <c r="T24" s="3">
        <f>SUMIFS('分錄'!W$5:W$54,'分錄'!$A$5:$A$54,$A24,'分錄'!$E$5:$E$54,$C24)</f>
        <v/>
      </c>
      <c r="U24" s="3">
        <f>SUMIFS('分錄'!X$5:X$54,'分錄'!$A$5:$A$54,$A24,'分錄'!$E$5:$E$54,$C24)</f>
        <v/>
      </c>
    </row>
    <row r="25">
      <c r="A25" t="inlineStr">
        <is>
          <t>外案</t>
        </is>
      </c>
      <c r="D25" s="7" t="inlineStr">
        <is>
          <t>B/S 合計</t>
        </is>
      </c>
      <c r="E25" s="3">
        <f>SUMIFS(E16:E24,$B16:$B24,"B/S")</f>
        <v/>
      </c>
      <c r="F25" s="3">
        <f>SUMIFS(F16:F24,$B16:$B24,"B/S")</f>
        <v/>
      </c>
      <c r="G25" s="3">
        <f>SUMIFS(G16:G24,$B16:$B24,"B/S")</f>
        <v/>
      </c>
      <c r="H25" s="3">
        <f>SUMIFS(H16:H24,$B16:$B24,"B/S")</f>
        <v/>
      </c>
      <c r="I25" s="3">
        <f>SUMIFS(I16:I24,$B16:$B24,"B/S")</f>
        <v/>
      </c>
      <c r="J25" s="3">
        <f>SUMIFS(J16:J24,$B16:$B24,"B/S")</f>
        <v/>
      </c>
      <c r="K25" s="3">
        <f>SUMIFS(K16:K24,$B16:$B24,"B/S")</f>
        <v/>
      </c>
      <c r="L25" s="3">
        <f>SUMIFS(L16:L24,$B16:$B24,"B/S")</f>
        <v/>
      </c>
      <c r="M25" s="3">
        <f>SUMIFS(M16:M24,$B16:$B24,"B/S")</f>
        <v/>
      </c>
      <c r="N25" s="3">
        <f>SUMIFS(N16:N24,$B16:$B24,"B/S")</f>
        <v/>
      </c>
      <c r="O25" s="3">
        <f>SUMIFS(O16:O24,$B16:$B24,"B/S")</f>
        <v/>
      </c>
      <c r="P25" s="3">
        <f>SUMIFS(P16:P24,$B16:$B24,"B/S")</f>
        <v/>
      </c>
      <c r="Q25" s="3">
        <f>SUMIFS(Q16:Q24,$B16:$B24,"B/S")</f>
        <v/>
      </c>
      <c r="R25" s="3">
        <f>SUMIFS(R16:R24,$B16:$B24,"B/S")</f>
        <v/>
      </c>
      <c r="S25" s="3">
        <f>SUMIFS(S16:S24,$B16:$B24,"B/S")</f>
        <v/>
      </c>
      <c r="T25" s="3">
        <f>SUMIFS(T16:T24,$B16:$B24,"B/S")</f>
        <v/>
      </c>
      <c r="U25" s="3">
        <f>SUMIFS(U16:U24,$B16:$B24,"B/S")</f>
        <v/>
      </c>
    </row>
    <row r="26">
      <c r="A26" t="inlineStr">
        <is>
          <t>外案</t>
        </is>
      </c>
      <c r="D26" s="7" t="inlineStr">
        <is>
          <t>P/L 合計（本期損益，負＝利益）</t>
        </is>
      </c>
      <c r="E26" s="3">
        <f>SUMIFS(E16:E24,$B16:$B24,"P/L")</f>
        <v/>
      </c>
      <c r="F26" s="3">
        <f>SUMIFS(F16:F24,$B16:$B24,"P/L")</f>
        <v/>
      </c>
      <c r="G26" s="3">
        <f>SUMIFS(G16:G24,$B16:$B24,"P/L")</f>
        <v/>
      </c>
      <c r="H26" s="3">
        <f>SUMIFS(H16:H24,$B16:$B24,"P/L")</f>
        <v/>
      </c>
      <c r="I26" s="3">
        <f>SUMIFS(I16:I24,$B16:$B24,"P/L")</f>
        <v/>
      </c>
      <c r="J26" s="3">
        <f>SUMIFS(J16:J24,$B16:$B24,"P/L")</f>
        <v/>
      </c>
      <c r="K26" s="3">
        <f>SUMIFS(K16:K24,$B16:$B24,"P/L")</f>
        <v/>
      </c>
      <c r="L26" s="3">
        <f>SUMIFS(L16:L24,$B16:$B24,"P/L")</f>
        <v/>
      </c>
      <c r="M26" s="3">
        <f>SUMIFS(M16:M24,$B16:$B24,"P/L")</f>
        <v/>
      </c>
      <c r="N26" s="3">
        <f>SUMIFS(N16:N24,$B16:$B24,"P/L")</f>
        <v/>
      </c>
      <c r="O26" s="3">
        <f>SUMIFS(O16:O24,$B16:$B24,"P/L")</f>
        <v/>
      </c>
      <c r="P26" s="3">
        <f>SUMIFS(P16:P24,$B16:$B24,"P/L")</f>
        <v/>
      </c>
      <c r="Q26" s="3">
        <f>SUMIFS(Q16:Q24,$B16:$B24,"P/L")</f>
        <v/>
      </c>
      <c r="R26" s="3">
        <f>SUMIFS(R16:R24,$B16:$B24,"P/L")</f>
        <v/>
      </c>
      <c r="S26" s="3">
        <f>SUMIFS(S16:S24,$B16:$B24,"P/L")</f>
        <v/>
      </c>
      <c r="T26" s="3">
        <f>SUMIFS(T16:T24,$B16:$B24,"P/L")</f>
        <v/>
      </c>
      <c r="U26" s="3">
        <f>SUMIFS(U16:U24,$B16:$B24,"P/L")</f>
        <v/>
      </c>
    </row>
    <row r="27">
      <c r="A27" s="4" t="inlineStr">
        <is>
          <t>外案</t>
        </is>
      </c>
      <c r="B27" s="4" t="n"/>
      <c r="C27" s="4" t="n"/>
      <c r="D27" s="9" t="inlineStr">
        <is>
          <t>B/S＋P/L（應為0）</t>
        </is>
      </c>
      <c r="E27" s="10">
        <f>ROUND(E25+E26,2)</f>
        <v/>
      </c>
      <c r="F27" s="10">
        <f>ROUND(F25+F26,2)</f>
        <v/>
      </c>
      <c r="G27" s="10">
        <f>ROUND(G25+G26,2)</f>
        <v/>
      </c>
      <c r="H27" s="10">
        <f>ROUND(H25+H26,2)</f>
        <v/>
      </c>
      <c r="I27" s="10">
        <f>ROUND(I25+I26,2)</f>
        <v/>
      </c>
      <c r="J27" s="10">
        <f>ROUND(J25+J26,2)</f>
        <v/>
      </c>
      <c r="K27" s="10">
        <f>ROUND(K25+K26,2)</f>
        <v/>
      </c>
      <c r="L27" s="10">
        <f>ROUND(L25+L26,2)</f>
        <v/>
      </c>
      <c r="M27" s="10">
        <f>ROUND(M25+M26,2)</f>
        <v/>
      </c>
      <c r="N27" s="10">
        <f>ROUND(N25+N26,2)</f>
        <v/>
      </c>
      <c r="O27" s="10">
        <f>ROUND(O25+O26,2)</f>
        <v/>
      </c>
      <c r="P27" s="10">
        <f>ROUND(P25+P26,2)</f>
        <v/>
      </c>
      <c r="Q27" s="10">
        <f>ROUND(Q25+Q26,2)</f>
        <v/>
      </c>
      <c r="R27" s="10">
        <f>ROUND(R25+R26,2)</f>
        <v/>
      </c>
      <c r="S27" s="10">
        <f>ROUND(S25+S26,2)</f>
        <v/>
      </c>
      <c r="T27" s="10">
        <f>ROUND(T25+T26,2)</f>
        <v/>
      </c>
      <c r="U27" s="10">
        <f>ROUND(U25+U26,2)</f>
        <v/>
      </c>
    </row>
    <row r="29">
      <c r="A29" t="inlineStr">
        <is>
          <t>雜項</t>
        </is>
      </c>
      <c r="B29" t="inlineStr">
        <is>
          <t>B/S</t>
        </is>
      </c>
      <c r="C29" t="inlineStr">
        <is>
          <t>11430000</t>
        </is>
      </c>
      <c r="D29" t="inlineStr">
        <is>
          <t>公司內部往來-TO &amp; BIM</t>
        </is>
      </c>
      <c r="E29" s="3">
        <f>SUMIFS('分錄'!H$5:H$54,'分錄'!$A$5:$A$54,$A29,'分錄'!$E$5:$E$54,$C29)</f>
        <v/>
      </c>
      <c r="F29" s="3">
        <f>SUMIFS('分錄'!I$5:I$54,'分錄'!$A$5:$A$54,$A29,'分錄'!$E$5:$E$54,$C29)</f>
        <v/>
      </c>
      <c r="G29" s="3">
        <f>SUMIFS('分錄'!J$5:J$54,'分錄'!$A$5:$A$54,$A29,'分錄'!$E$5:$E$54,$C29)</f>
        <v/>
      </c>
      <c r="H29" s="3">
        <f>SUMIFS('分錄'!K$5:K$54,'分錄'!$A$5:$A$54,$A29,'分錄'!$E$5:$E$54,$C29)</f>
        <v/>
      </c>
      <c r="I29" s="3">
        <f>SUMIFS('分錄'!L$5:L$54,'分錄'!$A$5:$A$54,$A29,'分錄'!$E$5:$E$54,$C29)</f>
        <v/>
      </c>
      <c r="J29" s="3">
        <f>SUMIFS('分錄'!M$5:M$54,'分錄'!$A$5:$A$54,$A29,'分錄'!$E$5:$E$54,$C29)</f>
        <v/>
      </c>
      <c r="K29" s="3">
        <f>SUMIFS('分錄'!N$5:N$54,'分錄'!$A$5:$A$54,$A29,'分錄'!$E$5:$E$54,$C29)</f>
        <v/>
      </c>
      <c r="L29" s="3">
        <f>SUMIFS('分錄'!O$5:O$54,'分錄'!$A$5:$A$54,$A29,'分錄'!$E$5:$E$54,$C29)</f>
        <v/>
      </c>
      <c r="M29" s="3">
        <f>SUMIFS('分錄'!P$5:P$54,'分錄'!$A$5:$A$54,$A29,'分錄'!$E$5:$E$54,$C29)</f>
        <v/>
      </c>
      <c r="N29" s="3">
        <f>SUMIFS('分錄'!Q$5:Q$54,'分錄'!$A$5:$A$54,$A29,'分錄'!$E$5:$E$54,$C29)</f>
        <v/>
      </c>
      <c r="O29" s="3">
        <f>SUMIFS('分錄'!R$5:R$54,'分錄'!$A$5:$A$54,$A29,'分錄'!$E$5:$E$54,$C29)</f>
        <v/>
      </c>
      <c r="P29" s="3">
        <f>SUMIFS('分錄'!S$5:S$54,'分錄'!$A$5:$A$54,$A29,'分錄'!$E$5:$E$54,$C29)</f>
        <v/>
      </c>
      <c r="Q29" s="3">
        <f>SUMIFS('分錄'!T$5:T$54,'分錄'!$A$5:$A$54,$A29,'分錄'!$E$5:$E$54,$C29)</f>
        <v/>
      </c>
      <c r="R29" s="3">
        <f>SUMIFS('分錄'!U$5:U$54,'分錄'!$A$5:$A$54,$A29,'分錄'!$E$5:$E$54,$C29)</f>
        <v/>
      </c>
      <c r="S29" s="3">
        <f>SUMIFS('分錄'!V$5:V$54,'分錄'!$A$5:$A$54,$A29,'分錄'!$E$5:$E$54,$C29)</f>
        <v/>
      </c>
      <c r="T29" s="3">
        <f>SUMIFS('分錄'!W$5:W$54,'分錄'!$A$5:$A$54,$A29,'分錄'!$E$5:$E$54,$C29)</f>
        <v/>
      </c>
      <c r="U29" s="3">
        <f>SUMIFS('分錄'!X$5:X$54,'分錄'!$A$5:$A$54,$A29,'分錄'!$E$5:$E$54,$C29)</f>
        <v/>
      </c>
    </row>
    <row r="30">
      <c r="A30" t="inlineStr">
        <is>
          <t>雜項</t>
        </is>
      </c>
      <c r="B30" t="inlineStr">
        <is>
          <t>P/L</t>
        </is>
      </c>
      <c r="C30" t="inlineStr">
        <is>
          <t>46110050</t>
        </is>
      </c>
      <c r="D30" t="inlineStr">
        <is>
          <t>勞務收入-內部計價</t>
        </is>
      </c>
      <c r="E30" s="3">
        <f>SUMIFS('分錄'!H$5:H$54,'分錄'!$A$5:$A$54,$A30,'分錄'!$E$5:$E$54,$C30)</f>
        <v/>
      </c>
      <c r="F30" s="3">
        <f>SUMIFS('分錄'!I$5:I$54,'分錄'!$A$5:$A$54,$A30,'分錄'!$E$5:$E$54,$C30)</f>
        <v/>
      </c>
      <c r="G30" s="3">
        <f>SUMIFS('分錄'!J$5:J$54,'分錄'!$A$5:$A$54,$A30,'分錄'!$E$5:$E$54,$C30)</f>
        <v/>
      </c>
      <c r="H30" s="3">
        <f>SUMIFS('分錄'!K$5:K$54,'分錄'!$A$5:$A$54,$A30,'分錄'!$E$5:$E$54,$C30)</f>
        <v/>
      </c>
      <c r="I30" s="3">
        <f>SUMIFS('分錄'!L$5:L$54,'分錄'!$A$5:$A$54,$A30,'分錄'!$E$5:$E$54,$C30)</f>
        <v/>
      </c>
      <c r="J30" s="3">
        <f>SUMIFS('分錄'!M$5:M$54,'分錄'!$A$5:$A$54,$A30,'分錄'!$E$5:$E$54,$C30)</f>
        <v/>
      </c>
      <c r="K30" s="3">
        <f>SUMIFS('分錄'!N$5:N$54,'分錄'!$A$5:$A$54,$A30,'分錄'!$E$5:$E$54,$C30)</f>
        <v/>
      </c>
      <c r="L30" s="3">
        <f>SUMIFS('分錄'!O$5:O$54,'分錄'!$A$5:$A$54,$A30,'分錄'!$E$5:$E$54,$C30)</f>
        <v/>
      </c>
      <c r="M30" s="3">
        <f>SUMIFS('分錄'!P$5:P$54,'分錄'!$A$5:$A$54,$A30,'分錄'!$E$5:$E$54,$C30)</f>
        <v/>
      </c>
      <c r="N30" s="3">
        <f>SUMIFS('分錄'!Q$5:Q$54,'分錄'!$A$5:$A$54,$A30,'分錄'!$E$5:$E$54,$C30)</f>
        <v/>
      </c>
      <c r="O30" s="3">
        <f>SUMIFS('分錄'!R$5:R$54,'分錄'!$A$5:$A$54,$A30,'分錄'!$E$5:$E$54,$C30)</f>
        <v/>
      </c>
      <c r="P30" s="3">
        <f>SUMIFS('分錄'!S$5:S$54,'分錄'!$A$5:$A$54,$A30,'分錄'!$E$5:$E$54,$C30)</f>
        <v/>
      </c>
      <c r="Q30" s="3">
        <f>SUMIFS('分錄'!T$5:T$54,'分錄'!$A$5:$A$54,$A30,'分錄'!$E$5:$E$54,$C30)</f>
        <v/>
      </c>
      <c r="R30" s="3">
        <f>SUMIFS('分錄'!U$5:U$54,'分錄'!$A$5:$A$54,$A30,'分錄'!$E$5:$E$54,$C30)</f>
        <v/>
      </c>
      <c r="S30" s="3">
        <f>SUMIFS('分錄'!V$5:V$54,'分錄'!$A$5:$A$54,$A30,'分錄'!$E$5:$E$54,$C30)</f>
        <v/>
      </c>
      <c r="T30" s="3">
        <f>SUMIFS('分錄'!W$5:W$54,'分錄'!$A$5:$A$54,$A30,'分錄'!$E$5:$E$54,$C30)</f>
        <v/>
      </c>
      <c r="U30" s="3">
        <f>SUMIFS('分錄'!X$5:X$54,'分錄'!$A$5:$A$54,$A30,'分錄'!$E$5:$E$54,$C30)</f>
        <v/>
      </c>
    </row>
    <row r="31">
      <c r="A31" t="inlineStr">
        <is>
          <t>雜項</t>
        </is>
      </c>
      <c r="B31" t="inlineStr">
        <is>
          <t>P/L</t>
        </is>
      </c>
      <c r="C31" t="inlineStr">
        <is>
          <t>55/56xxxxxx</t>
        </is>
      </c>
      <c r="D31" t="inlineStr">
        <is>
          <t>專案成本</t>
        </is>
      </c>
      <c r="E31" s="3">
        <f>SUMIFS('分錄'!H$5:H$54,'分錄'!$A$5:$A$54,$A31,'分錄'!$E$5:$E$54,$C31)</f>
        <v/>
      </c>
      <c r="F31" s="3">
        <f>SUMIFS('分錄'!I$5:I$54,'分錄'!$A$5:$A$54,$A31,'分錄'!$E$5:$E$54,$C31)</f>
        <v/>
      </c>
      <c r="G31" s="3">
        <f>SUMIFS('分錄'!J$5:J$54,'分錄'!$A$5:$A$54,$A31,'分錄'!$E$5:$E$54,$C31)</f>
        <v/>
      </c>
      <c r="H31" s="3">
        <f>SUMIFS('分錄'!K$5:K$54,'分錄'!$A$5:$A$54,$A31,'分錄'!$E$5:$E$54,$C31)</f>
        <v/>
      </c>
      <c r="I31" s="3">
        <f>SUMIFS('分錄'!L$5:L$54,'分錄'!$A$5:$A$54,$A31,'分錄'!$E$5:$E$54,$C31)</f>
        <v/>
      </c>
      <c r="J31" s="3">
        <f>SUMIFS('分錄'!M$5:M$54,'分錄'!$A$5:$A$54,$A31,'分錄'!$E$5:$E$54,$C31)</f>
        <v/>
      </c>
      <c r="K31" s="3">
        <f>SUMIFS('分錄'!N$5:N$54,'分錄'!$A$5:$A$54,$A31,'分錄'!$E$5:$E$54,$C31)</f>
        <v/>
      </c>
      <c r="L31" s="3">
        <f>SUMIFS('分錄'!O$5:O$54,'分錄'!$A$5:$A$54,$A31,'分錄'!$E$5:$E$54,$C31)</f>
        <v/>
      </c>
      <c r="M31" s="3">
        <f>SUMIFS('分錄'!P$5:P$54,'分錄'!$A$5:$A$54,$A31,'分錄'!$E$5:$E$54,$C31)</f>
        <v/>
      </c>
      <c r="N31" s="3">
        <f>SUMIFS('分錄'!Q$5:Q$54,'分錄'!$A$5:$A$54,$A31,'分錄'!$E$5:$E$54,$C31)</f>
        <v/>
      </c>
      <c r="O31" s="3">
        <f>SUMIFS('分錄'!R$5:R$54,'分錄'!$A$5:$A$54,$A31,'分錄'!$E$5:$E$54,$C31)</f>
        <v/>
      </c>
      <c r="P31" s="3">
        <f>SUMIFS('分錄'!S$5:S$54,'分錄'!$A$5:$A$54,$A31,'分錄'!$E$5:$E$54,$C31)</f>
        <v/>
      </c>
      <c r="Q31" s="3">
        <f>SUMIFS('分錄'!T$5:T$54,'分錄'!$A$5:$A$54,$A31,'分錄'!$E$5:$E$54,$C31)</f>
        <v/>
      </c>
      <c r="R31" s="3">
        <f>SUMIFS('分錄'!U$5:U$54,'分錄'!$A$5:$A$54,$A31,'分錄'!$E$5:$E$54,$C31)</f>
        <v/>
      </c>
      <c r="S31" s="3">
        <f>SUMIFS('分錄'!V$5:V$54,'分錄'!$A$5:$A$54,$A31,'分錄'!$E$5:$E$54,$C31)</f>
        <v/>
      </c>
      <c r="T31" s="3">
        <f>SUMIFS('分錄'!W$5:W$54,'分錄'!$A$5:$A$54,$A31,'分錄'!$E$5:$E$54,$C31)</f>
        <v/>
      </c>
      <c r="U31" s="3">
        <f>SUMIFS('分錄'!X$5:X$54,'分錄'!$A$5:$A$54,$A31,'分錄'!$E$5:$E$54,$C31)</f>
        <v/>
      </c>
    </row>
    <row r="32">
      <c r="A32" t="inlineStr">
        <is>
          <t>雜項</t>
        </is>
      </c>
      <c r="B32" t="inlineStr">
        <is>
          <t>P/L</t>
        </is>
      </c>
      <c r="C32" t="inlineStr">
        <is>
          <t>62109999/62350099</t>
        </is>
      </c>
      <c r="D32" t="inlineStr">
        <is>
          <t>人事分攤／電腦out charge（合計，拆分無資料）</t>
        </is>
      </c>
      <c r="E32" s="3">
        <f>SUMIFS('分錄'!H$5:H$54,'分錄'!$A$5:$A$54,$A32,'分錄'!$E$5:$E$54,$C32)</f>
        <v/>
      </c>
      <c r="F32" s="3">
        <f>SUMIFS('分錄'!I$5:I$54,'分錄'!$A$5:$A$54,$A32,'分錄'!$E$5:$E$54,$C32)</f>
        <v/>
      </c>
      <c r="G32" s="3">
        <f>SUMIFS('分錄'!J$5:J$54,'分錄'!$A$5:$A$54,$A32,'分錄'!$E$5:$E$54,$C32)</f>
        <v/>
      </c>
      <c r="H32" s="3">
        <f>SUMIFS('分錄'!K$5:K$54,'分錄'!$A$5:$A$54,$A32,'分錄'!$E$5:$E$54,$C32)</f>
        <v/>
      </c>
      <c r="I32" s="3">
        <f>SUMIFS('分錄'!L$5:L$54,'分錄'!$A$5:$A$54,$A32,'分錄'!$E$5:$E$54,$C32)</f>
        <v/>
      </c>
      <c r="J32" s="3">
        <f>SUMIFS('分錄'!M$5:M$54,'分錄'!$A$5:$A$54,$A32,'分錄'!$E$5:$E$54,$C32)</f>
        <v/>
      </c>
      <c r="K32" s="3">
        <f>SUMIFS('分錄'!N$5:N$54,'分錄'!$A$5:$A$54,$A32,'分錄'!$E$5:$E$54,$C32)</f>
        <v/>
      </c>
      <c r="L32" s="3">
        <f>SUMIFS('分錄'!O$5:O$54,'分錄'!$A$5:$A$54,$A32,'分錄'!$E$5:$E$54,$C32)</f>
        <v/>
      </c>
      <c r="M32" s="3">
        <f>SUMIFS('分錄'!P$5:P$54,'分錄'!$A$5:$A$54,$A32,'分錄'!$E$5:$E$54,$C32)</f>
        <v/>
      </c>
      <c r="N32" s="3">
        <f>SUMIFS('分錄'!Q$5:Q$54,'分錄'!$A$5:$A$54,$A32,'分錄'!$E$5:$E$54,$C32)</f>
        <v/>
      </c>
      <c r="O32" s="3">
        <f>SUMIFS('分錄'!R$5:R$54,'分錄'!$A$5:$A$54,$A32,'分錄'!$E$5:$E$54,$C32)</f>
        <v/>
      </c>
      <c r="P32" s="3">
        <f>SUMIFS('分錄'!S$5:S$54,'分錄'!$A$5:$A$54,$A32,'分錄'!$E$5:$E$54,$C32)</f>
        <v/>
      </c>
      <c r="Q32" s="3">
        <f>SUMIFS('分錄'!T$5:T$54,'分錄'!$A$5:$A$54,$A32,'分錄'!$E$5:$E$54,$C32)</f>
        <v/>
      </c>
      <c r="R32" s="3">
        <f>SUMIFS('分錄'!U$5:U$54,'分錄'!$A$5:$A$54,$A32,'分錄'!$E$5:$E$54,$C32)</f>
        <v/>
      </c>
      <c r="S32" s="3">
        <f>SUMIFS('分錄'!V$5:V$54,'分錄'!$A$5:$A$54,$A32,'分錄'!$E$5:$E$54,$C32)</f>
        <v/>
      </c>
      <c r="T32" s="3">
        <f>SUMIFS('分錄'!W$5:W$54,'分錄'!$A$5:$A$54,$A32,'分錄'!$E$5:$E$54,$C32)</f>
        <v/>
      </c>
      <c r="U32" s="3">
        <f>SUMIFS('分錄'!X$5:X$54,'分錄'!$A$5:$A$54,$A32,'分錄'!$E$5:$E$54,$C32)</f>
        <v/>
      </c>
    </row>
    <row r="33">
      <c r="A33" t="inlineStr">
        <is>
          <t>雜項</t>
        </is>
      </c>
      <c r="D33" s="7" t="inlineStr">
        <is>
          <t>B/S 合計</t>
        </is>
      </c>
      <c r="E33" s="3">
        <f>SUMIFS(E29:E32,$B29:$B32,"B/S")</f>
        <v/>
      </c>
      <c r="F33" s="3">
        <f>SUMIFS(F29:F32,$B29:$B32,"B/S")</f>
        <v/>
      </c>
      <c r="G33" s="3">
        <f>SUMIFS(G29:G32,$B29:$B32,"B/S")</f>
        <v/>
      </c>
      <c r="H33" s="3">
        <f>SUMIFS(H29:H32,$B29:$B32,"B/S")</f>
        <v/>
      </c>
      <c r="I33" s="3">
        <f>SUMIFS(I29:I32,$B29:$B32,"B/S")</f>
        <v/>
      </c>
      <c r="J33" s="3">
        <f>SUMIFS(J29:J32,$B29:$B32,"B/S")</f>
        <v/>
      </c>
      <c r="K33" s="3">
        <f>SUMIFS(K29:K32,$B29:$B32,"B/S")</f>
        <v/>
      </c>
      <c r="L33" s="3">
        <f>SUMIFS(L29:L32,$B29:$B32,"B/S")</f>
        <v/>
      </c>
      <c r="M33" s="3">
        <f>SUMIFS(M29:M32,$B29:$B32,"B/S")</f>
        <v/>
      </c>
      <c r="N33" s="3">
        <f>SUMIFS(N29:N32,$B29:$B32,"B/S")</f>
        <v/>
      </c>
      <c r="O33" s="3">
        <f>SUMIFS(O29:O32,$B29:$B32,"B/S")</f>
        <v/>
      </c>
      <c r="P33" s="3">
        <f>SUMIFS(P29:P32,$B29:$B32,"B/S")</f>
        <v/>
      </c>
      <c r="Q33" s="3">
        <f>SUMIFS(Q29:Q32,$B29:$B32,"B/S")</f>
        <v/>
      </c>
      <c r="R33" s="3">
        <f>SUMIFS(R29:R32,$B29:$B32,"B/S")</f>
        <v/>
      </c>
      <c r="S33" s="3">
        <f>SUMIFS(S29:S32,$B29:$B32,"B/S")</f>
        <v/>
      </c>
      <c r="T33" s="3">
        <f>SUMIFS(T29:T32,$B29:$B32,"B/S")</f>
        <v/>
      </c>
      <c r="U33" s="3">
        <f>SUMIFS(U29:U32,$B29:$B32,"B/S")</f>
        <v/>
      </c>
    </row>
    <row r="34">
      <c r="A34" t="inlineStr">
        <is>
          <t>雜項</t>
        </is>
      </c>
      <c r="D34" s="7" t="inlineStr">
        <is>
          <t>P/L 合計（本期損益，負＝利益）</t>
        </is>
      </c>
      <c r="E34" s="3">
        <f>SUMIFS(E29:E32,$B29:$B32,"P/L")</f>
        <v/>
      </c>
      <c r="F34" s="3">
        <f>SUMIFS(F29:F32,$B29:$B32,"P/L")</f>
        <v/>
      </c>
      <c r="G34" s="3">
        <f>SUMIFS(G29:G32,$B29:$B32,"P/L")</f>
        <v/>
      </c>
      <c r="H34" s="3">
        <f>SUMIFS(H29:H32,$B29:$B32,"P/L")</f>
        <v/>
      </c>
      <c r="I34" s="3">
        <f>SUMIFS(I29:I32,$B29:$B32,"P/L")</f>
        <v/>
      </c>
      <c r="J34" s="3">
        <f>SUMIFS(J29:J32,$B29:$B32,"P/L")</f>
        <v/>
      </c>
      <c r="K34" s="3">
        <f>SUMIFS(K29:K32,$B29:$B32,"P/L")</f>
        <v/>
      </c>
      <c r="L34" s="3">
        <f>SUMIFS(L29:L32,$B29:$B32,"P/L")</f>
        <v/>
      </c>
      <c r="M34" s="3">
        <f>SUMIFS(M29:M32,$B29:$B32,"P/L")</f>
        <v/>
      </c>
      <c r="N34" s="3">
        <f>SUMIFS(N29:N32,$B29:$B32,"P/L")</f>
        <v/>
      </c>
      <c r="O34" s="3">
        <f>SUMIFS(O29:O32,$B29:$B32,"P/L")</f>
        <v/>
      </c>
      <c r="P34" s="3">
        <f>SUMIFS(P29:P32,$B29:$B32,"P/L")</f>
        <v/>
      </c>
      <c r="Q34" s="3">
        <f>SUMIFS(Q29:Q32,$B29:$B32,"P/L")</f>
        <v/>
      </c>
      <c r="R34" s="3">
        <f>SUMIFS(R29:R32,$B29:$B32,"P/L")</f>
        <v/>
      </c>
      <c r="S34" s="3">
        <f>SUMIFS(S29:S32,$B29:$B32,"P/L")</f>
        <v/>
      </c>
      <c r="T34" s="3">
        <f>SUMIFS(T29:T32,$B29:$B32,"P/L")</f>
        <v/>
      </c>
      <c r="U34" s="3">
        <f>SUMIFS(U29:U32,$B29:$B32,"P/L")</f>
        <v/>
      </c>
    </row>
    <row r="35">
      <c r="A35" s="4" t="inlineStr">
        <is>
          <t>雜項</t>
        </is>
      </c>
      <c r="B35" s="4" t="n"/>
      <c r="C35" s="4" t="n"/>
      <c r="D35" s="9" t="inlineStr">
        <is>
          <t>B/S＋P/L（應為0）</t>
        </is>
      </c>
      <c r="E35" s="10">
        <f>ROUND(E33+E34,2)</f>
        <v/>
      </c>
      <c r="F35" s="10">
        <f>ROUND(F33+F34,2)</f>
        <v/>
      </c>
      <c r="G35" s="10">
        <f>ROUND(G33+G34,2)</f>
        <v/>
      </c>
      <c r="H35" s="10">
        <f>ROUND(H33+H34,2)</f>
        <v/>
      </c>
      <c r="I35" s="10">
        <f>ROUND(I33+I34,2)</f>
        <v/>
      </c>
      <c r="J35" s="10">
        <f>ROUND(J33+J34,2)</f>
        <v/>
      </c>
      <c r="K35" s="10">
        <f>ROUND(K33+K34,2)</f>
        <v/>
      </c>
      <c r="L35" s="10">
        <f>ROUND(L33+L34,2)</f>
        <v/>
      </c>
      <c r="M35" s="10">
        <f>ROUND(M33+M34,2)</f>
        <v/>
      </c>
      <c r="N35" s="10">
        <f>ROUND(N33+N34,2)</f>
        <v/>
      </c>
      <c r="O35" s="10">
        <f>ROUND(O33+O34,2)</f>
        <v/>
      </c>
      <c r="P35" s="10">
        <f>ROUND(P33+P34,2)</f>
        <v/>
      </c>
      <c r="Q35" s="10">
        <f>ROUND(Q33+Q34,2)</f>
        <v/>
      </c>
      <c r="R35" s="10">
        <f>ROUND(R33+R34,2)</f>
        <v/>
      </c>
      <c r="S35" s="10">
        <f>ROUND(S33+S34,2)</f>
        <v/>
      </c>
      <c r="T35" s="10">
        <f>ROUND(T33+T34,2)</f>
        <v/>
      </c>
      <c r="U35" s="10">
        <f>ROUND(U33+U34,2)</f>
        <v/>
      </c>
    </row>
    <row r="37">
      <c r="A37" t="inlineStr">
        <is>
          <t>備標</t>
        </is>
      </c>
      <c r="B37" t="inlineStr">
        <is>
          <t>B/S</t>
        </is>
      </c>
      <c r="C37" t="inlineStr">
        <is>
          <t>11430000</t>
        </is>
      </c>
      <c r="D37" t="inlineStr">
        <is>
          <t>公司內部往來-TO &amp; BIM</t>
        </is>
      </c>
      <c r="E37" s="3">
        <f>SUMIFS('分錄'!H$5:H$54,'分錄'!$A$5:$A$54,$A37,'分錄'!$E$5:$E$54,$C37)</f>
        <v/>
      </c>
      <c r="F37" s="3">
        <f>SUMIFS('分錄'!I$5:I$54,'分錄'!$A$5:$A$54,$A37,'分錄'!$E$5:$E$54,$C37)</f>
        <v/>
      </c>
      <c r="G37" s="3">
        <f>SUMIFS('分錄'!J$5:J$54,'分錄'!$A$5:$A$54,$A37,'分錄'!$E$5:$E$54,$C37)</f>
        <v/>
      </c>
      <c r="H37" s="3">
        <f>SUMIFS('分錄'!K$5:K$54,'分錄'!$A$5:$A$54,$A37,'分錄'!$E$5:$E$54,$C37)</f>
        <v/>
      </c>
      <c r="I37" s="3">
        <f>SUMIFS('分錄'!L$5:L$54,'分錄'!$A$5:$A$54,$A37,'分錄'!$E$5:$E$54,$C37)</f>
        <v/>
      </c>
      <c r="J37" s="3">
        <f>SUMIFS('分錄'!M$5:M$54,'分錄'!$A$5:$A$54,$A37,'分錄'!$E$5:$E$54,$C37)</f>
        <v/>
      </c>
      <c r="K37" s="3">
        <f>SUMIFS('分錄'!N$5:N$54,'分錄'!$A$5:$A$54,$A37,'分錄'!$E$5:$E$54,$C37)</f>
        <v/>
      </c>
      <c r="L37" s="3">
        <f>SUMIFS('分錄'!O$5:O$54,'分錄'!$A$5:$A$54,$A37,'分錄'!$E$5:$E$54,$C37)</f>
        <v/>
      </c>
      <c r="M37" s="3">
        <f>SUMIFS('分錄'!P$5:P$54,'分錄'!$A$5:$A$54,$A37,'分錄'!$E$5:$E$54,$C37)</f>
        <v/>
      </c>
      <c r="N37" s="3">
        <f>SUMIFS('分錄'!Q$5:Q$54,'分錄'!$A$5:$A$54,$A37,'分錄'!$E$5:$E$54,$C37)</f>
        <v/>
      </c>
      <c r="O37" s="3">
        <f>SUMIFS('分錄'!R$5:R$54,'分錄'!$A$5:$A$54,$A37,'分錄'!$E$5:$E$54,$C37)</f>
        <v/>
      </c>
      <c r="P37" s="3">
        <f>SUMIFS('分錄'!S$5:S$54,'分錄'!$A$5:$A$54,$A37,'分錄'!$E$5:$E$54,$C37)</f>
        <v/>
      </c>
      <c r="Q37" s="3">
        <f>SUMIFS('分錄'!T$5:T$54,'分錄'!$A$5:$A$54,$A37,'分錄'!$E$5:$E$54,$C37)</f>
        <v/>
      </c>
      <c r="R37" s="3">
        <f>SUMIFS('分錄'!U$5:U$54,'分錄'!$A$5:$A$54,$A37,'分錄'!$E$5:$E$54,$C37)</f>
        <v/>
      </c>
      <c r="S37" s="3">
        <f>SUMIFS('分錄'!V$5:V$54,'分錄'!$A$5:$A$54,$A37,'分錄'!$E$5:$E$54,$C37)</f>
        <v/>
      </c>
      <c r="T37" s="3">
        <f>SUMIFS('分錄'!W$5:W$54,'分錄'!$A$5:$A$54,$A37,'分錄'!$E$5:$E$54,$C37)</f>
        <v/>
      </c>
      <c r="U37" s="3">
        <f>SUMIFS('分錄'!X$5:X$54,'分錄'!$A$5:$A$54,$A37,'分錄'!$E$5:$E$54,$C37)</f>
        <v/>
      </c>
    </row>
    <row r="38">
      <c r="A38" t="inlineStr">
        <is>
          <t>備標</t>
        </is>
      </c>
      <c r="B38" t="inlineStr">
        <is>
          <t>P/L</t>
        </is>
      </c>
      <c r="C38" t="inlineStr">
        <is>
          <t>46110050</t>
        </is>
      </c>
      <c r="D38" t="inlineStr">
        <is>
          <t>勞務收入-內部計價</t>
        </is>
      </c>
      <c r="E38" s="3">
        <f>SUMIFS('分錄'!H$5:H$54,'分錄'!$A$5:$A$54,$A38,'分錄'!$E$5:$E$54,$C38)</f>
        <v/>
      </c>
      <c r="F38" s="3">
        <f>SUMIFS('分錄'!I$5:I$54,'分錄'!$A$5:$A$54,$A38,'分錄'!$E$5:$E$54,$C38)</f>
        <v/>
      </c>
      <c r="G38" s="3">
        <f>SUMIFS('分錄'!J$5:J$54,'分錄'!$A$5:$A$54,$A38,'分錄'!$E$5:$E$54,$C38)</f>
        <v/>
      </c>
      <c r="H38" s="3">
        <f>SUMIFS('分錄'!K$5:K$54,'分錄'!$A$5:$A$54,$A38,'分錄'!$E$5:$E$54,$C38)</f>
        <v/>
      </c>
      <c r="I38" s="3">
        <f>SUMIFS('分錄'!L$5:L$54,'分錄'!$A$5:$A$54,$A38,'分錄'!$E$5:$E$54,$C38)</f>
        <v/>
      </c>
      <c r="J38" s="3">
        <f>SUMIFS('分錄'!M$5:M$54,'分錄'!$A$5:$A$54,$A38,'分錄'!$E$5:$E$54,$C38)</f>
        <v/>
      </c>
      <c r="K38" s="3">
        <f>SUMIFS('分錄'!N$5:N$54,'分錄'!$A$5:$A$54,$A38,'分錄'!$E$5:$E$54,$C38)</f>
        <v/>
      </c>
      <c r="L38" s="3">
        <f>SUMIFS('分錄'!O$5:O$54,'分錄'!$A$5:$A$54,$A38,'分錄'!$E$5:$E$54,$C38)</f>
        <v/>
      </c>
      <c r="M38" s="3">
        <f>SUMIFS('分錄'!P$5:P$54,'分錄'!$A$5:$A$54,$A38,'分錄'!$E$5:$E$54,$C38)</f>
        <v/>
      </c>
      <c r="N38" s="3">
        <f>SUMIFS('分錄'!Q$5:Q$54,'分錄'!$A$5:$A$54,$A38,'分錄'!$E$5:$E$54,$C38)</f>
        <v/>
      </c>
      <c r="O38" s="3">
        <f>SUMIFS('分錄'!R$5:R$54,'分錄'!$A$5:$A$54,$A38,'分錄'!$E$5:$E$54,$C38)</f>
        <v/>
      </c>
      <c r="P38" s="3">
        <f>SUMIFS('分錄'!S$5:S$54,'分錄'!$A$5:$A$54,$A38,'分錄'!$E$5:$E$54,$C38)</f>
        <v/>
      </c>
      <c r="Q38" s="3">
        <f>SUMIFS('分錄'!T$5:T$54,'分錄'!$A$5:$A$54,$A38,'分錄'!$E$5:$E$54,$C38)</f>
        <v/>
      </c>
      <c r="R38" s="3">
        <f>SUMIFS('分錄'!U$5:U$54,'分錄'!$A$5:$A$54,$A38,'分錄'!$E$5:$E$54,$C38)</f>
        <v/>
      </c>
      <c r="S38" s="3">
        <f>SUMIFS('分錄'!V$5:V$54,'分錄'!$A$5:$A$54,$A38,'分錄'!$E$5:$E$54,$C38)</f>
        <v/>
      </c>
      <c r="T38" s="3">
        <f>SUMIFS('分錄'!W$5:W$54,'分錄'!$A$5:$A$54,$A38,'分錄'!$E$5:$E$54,$C38)</f>
        <v/>
      </c>
      <c r="U38" s="3">
        <f>SUMIFS('分錄'!X$5:X$54,'分錄'!$A$5:$A$54,$A38,'分錄'!$E$5:$E$54,$C38)</f>
        <v/>
      </c>
    </row>
    <row r="39">
      <c r="A39" t="inlineStr">
        <is>
          <t>備標</t>
        </is>
      </c>
      <c r="B39" t="inlineStr">
        <is>
          <t>P/L</t>
        </is>
      </c>
      <c r="C39" t="inlineStr">
        <is>
          <t>55/56xxxxxx</t>
        </is>
      </c>
      <c r="D39" t="inlineStr">
        <is>
          <t>專案成本</t>
        </is>
      </c>
      <c r="E39" s="3">
        <f>SUMIFS('分錄'!H$5:H$54,'分錄'!$A$5:$A$54,$A39,'分錄'!$E$5:$E$54,$C39)</f>
        <v/>
      </c>
      <c r="F39" s="3">
        <f>SUMIFS('分錄'!I$5:I$54,'分錄'!$A$5:$A$54,$A39,'分錄'!$E$5:$E$54,$C39)</f>
        <v/>
      </c>
      <c r="G39" s="3">
        <f>SUMIFS('分錄'!J$5:J$54,'分錄'!$A$5:$A$54,$A39,'分錄'!$E$5:$E$54,$C39)</f>
        <v/>
      </c>
      <c r="H39" s="3">
        <f>SUMIFS('分錄'!K$5:K$54,'分錄'!$A$5:$A$54,$A39,'分錄'!$E$5:$E$54,$C39)</f>
        <v/>
      </c>
      <c r="I39" s="3">
        <f>SUMIFS('分錄'!L$5:L$54,'分錄'!$A$5:$A$54,$A39,'分錄'!$E$5:$E$54,$C39)</f>
        <v/>
      </c>
      <c r="J39" s="3">
        <f>SUMIFS('分錄'!M$5:M$54,'分錄'!$A$5:$A$54,$A39,'分錄'!$E$5:$E$54,$C39)</f>
        <v/>
      </c>
      <c r="K39" s="3">
        <f>SUMIFS('分錄'!N$5:N$54,'分錄'!$A$5:$A$54,$A39,'分錄'!$E$5:$E$54,$C39)</f>
        <v/>
      </c>
      <c r="L39" s="3">
        <f>SUMIFS('分錄'!O$5:O$54,'分錄'!$A$5:$A$54,$A39,'分錄'!$E$5:$E$54,$C39)</f>
        <v/>
      </c>
      <c r="M39" s="3">
        <f>SUMIFS('分錄'!P$5:P$54,'分錄'!$A$5:$A$54,$A39,'分錄'!$E$5:$E$54,$C39)</f>
        <v/>
      </c>
      <c r="N39" s="3">
        <f>SUMIFS('分錄'!Q$5:Q$54,'分錄'!$A$5:$A$54,$A39,'分錄'!$E$5:$E$54,$C39)</f>
        <v/>
      </c>
      <c r="O39" s="3">
        <f>SUMIFS('分錄'!R$5:R$54,'分錄'!$A$5:$A$54,$A39,'分錄'!$E$5:$E$54,$C39)</f>
        <v/>
      </c>
      <c r="P39" s="3">
        <f>SUMIFS('分錄'!S$5:S$54,'分錄'!$A$5:$A$54,$A39,'分錄'!$E$5:$E$54,$C39)</f>
        <v/>
      </c>
      <c r="Q39" s="3">
        <f>SUMIFS('分錄'!T$5:T$54,'分錄'!$A$5:$A$54,$A39,'分錄'!$E$5:$E$54,$C39)</f>
        <v/>
      </c>
      <c r="R39" s="3">
        <f>SUMIFS('分錄'!U$5:U$54,'分錄'!$A$5:$A$54,$A39,'分錄'!$E$5:$E$54,$C39)</f>
        <v/>
      </c>
      <c r="S39" s="3">
        <f>SUMIFS('分錄'!V$5:V$54,'分錄'!$A$5:$A$54,$A39,'分錄'!$E$5:$E$54,$C39)</f>
        <v/>
      </c>
      <c r="T39" s="3">
        <f>SUMIFS('分錄'!W$5:W$54,'分錄'!$A$5:$A$54,$A39,'分錄'!$E$5:$E$54,$C39)</f>
        <v/>
      </c>
      <c r="U39" s="3">
        <f>SUMIFS('分錄'!X$5:X$54,'分錄'!$A$5:$A$54,$A39,'分錄'!$E$5:$E$54,$C39)</f>
        <v/>
      </c>
    </row>
    <row r="40">
      <c r="A40" t="inlineStr">
        <is>
          <t>備標</t>
        </is>
      </c>
      <c r="B40" t="inlineStr">
        <is>
          <t>P/L</t>
        </is>
      </c>
      <c r="C40" t="inlineStr">
        <is>
          <t>62109999/62350099</t>
        </is>
      </c>
      <c r="D40" t="inlineStr">
        <is>
          <t>人事分攤／電腦out charge（合計，拆分無資料）</t>
        </is>
      </c>
      <c r="E40" s="3">
        <f>SUMIFS('分錄'!H$5:H$54,'分錄'!$A$5:$A$54,$A40,'分錄'!$E$5:$E$54,$C40)</f>
        <v/>
      </c>
      <c r="F40" s="3">
        <f>SUMIFS('分錄'!I$5:I$54,'分錄'!$A$5:$A$54,$A40,'分錄'!$E$5:$E$54,$C40)</f>
        <v/>
      </c>
      <c r="G40" s="3">
        <f>SUMIFS('分錄'!J$5:J$54,'分錄'!$A$5:$A$54,$A40,'分錄'!$E$5:$E$54,$C40)</f>
        <v/>
      </c>
      <c r="H40" s="3">
        <f>SUMIFS('分錄'!K$5:K$54,'分錄'!$A$5:$A$54,$A40,'分錄'!$E$5:$E$54,$C40)</f>
        <v/>
      </c>
      <c r="I40" s="3">
        <f>SUMIFS('分錄'!L$5:L$54,'分錄'!$A$5:$A$54,$A40,'分錄'!$E$5:$E$54,$C40)</f>
        <v/>
      </c>
      <c r="J40" s="3">
        <f>SUMIFS('分錄'!M$5:M$54,'分錄'!$A$5:$A$54,$A40,'分錄'!$E$5:$E$54,$C40)</f>
        <v/>
      </c>
      <c r="K40" s="3">
        <f>SUMIFS('分錄'!N$5:N$54,'分錄'!$A$5:$A$54,$A40,'分錄'!$E$5:$E$54,$C40)</f>
        <v/>
      </c>
      <c r="L40" s="3">
        <f>SUMIFS('分錄'!O$5:O$54,'分錄'!$A$5:$A$54,$A40,'分錄'!$E$5:$E$54,$C40)</f>
        <v/>
      </c>
      <c r="M40" s="3">
        <f>SUMIFS('分錄'!P$5:P$54,'分錄'!$A$5:$A$54,$A40,'分錄'!$E$5:$E$54,$C40)</f>
        <v/>
      </c>
      <c r="N40" s="3">
        <f>SUMIFS('分錄'!Q$5:Q$54,'分錄'!$A$5:$A$54,$A40,'分錄'!$E$5:$E$54,$C40)</f>
        <v/>
      </c>
      <c r="O40" s="3">
        <f>SUMIFS('分錄'!R$5:R$54,'分錄'!$A$5:$A$54,$A40,'分錄'!$E$5:$E$54,$C40)</f>
        <v/>
      </c>
      <c r="P40" s="3">
        <f>SUMIFS('分錄'!S$5:S$54,'分錄'!$A$5:$A$54,$A40,'分錄'!$E$5:$E$54,$C40)</f>
        <v/>
      </c>
      <c r="Q40" s="3">
        <f>SUMIFS('分錄'!T$5:T$54,'分錄'!$A$5:$A$54,$A40,'分錄'!$E$5:$E$54,$C40)</f>
        <v/>
      </c>
      <c r="R40" s="3">
        <f>SUMIFS('分錄'!U$5:U$54,'分錄'!$A$5:$A$54,$A40,'分錄'!$E$5:$E$54,$C40)</f>
        <v/>
      </c>
      <c r="S40" s="3">
        <f>SUMIFS('分錄'!V$5:V$54,'分錄'!$A$5:$A$54,$A40,'分錄'!$E$5:$E$54,$C40)</f>
        <v/>
      </c>
      <c r="T40" s="3">
        <f>SUMIFS('分錄'!W$5:W$54,'分錄'!$A$5:$A$54,$A40,'分錄'!$E$5:$E$54,$C40)</f>
        <v/>
      </c>
      <c r="U40" s="3">
        <f>SUMIFS('分錄'!X$5:X$54,'分錄'!$A$5:$A$54,$A40,'分錄'!$E$5:$E$54,$C40)</f>
        <v/>
      </c>
    </row>
    <row r="41">
      <c r="A41" t="inlineStr">
        <is>
          <t>備標</t>
        </is>
      </c>
      <c r="D41" s="7" t="inlineStr">
        <is>
          <t>B/S 合計</t>
        </is>
      </c>
      <c r="E41" s="3">
        <f>SUMIFS(E37:E40,$B37:$B40,"B/S")</f>
        <v/>
      </c>
      <c r="F41" s="3">
        <f>SUMIFS(F37:F40,$B37:$B40,"B/S")</f>
        <v/>
      </c>
      <c r="G41" s="3">
        <f>SUMIFS(G37:G40,$B37:$B40,"B/S")</f>
        <v/>
      </c>
      <c r="H41" s="3">
        <f>SUMIFS(H37:H40,$B37:$B40,"B/S")</f>
        <v/>
      </c>
      <c r="I41" s="3">
        <f>SUMIFS(I37:I40,$B37:$B40,"B/S")</f>
        <v/>
      </c>
      <c r="J41" s="3">
        <f>SUMIFS(J37:J40,$B37:$B40,"B/S")</f>
        <v/>
      </c>
      <c r="K41" s="3">
        <f>SUMIFS(K37:K40,$B37:$B40,"B/S")</f>
        <v/>
      </c>
      <c r="L41" s="3">
        <f>SUMIFS(L37:L40,$B37:$B40,"B/S")</f>
        <v/>
      </c>
      <c r="M41" s="3">
        <f>SUMIFS(M37:M40,$B37:$B40,"B/S")</f>
        <v/>
      </c>
      <c r="N41" s="3">
        <f>SUMIFS(N37:N40,$B37:$B40,"B/S")</f>
        <v/>
      </c>
      <c r="O41" s="3">
        <f>SUMIFS(O37:O40,$B37:$B40,"B/S")</f>
        <v/>
      </c>
      <c r="P41" s="3">
        <f>SUMIFS(P37:P40,$B37:$B40,"B/S")</f>
        <v/>
      </c>
      <c r="Q41" s="3">
        <f>SUMIFS(Q37:Q40,$B37:$B40,"B/S")</f>
        <v/>
      </c>
      <c r="R41" s="3">
        <f>SUMIFS(R37:R40,$B37:$B40,"B/S")</f>
        <v/>
      </c>
      <c r="S41" s="3">
        <f>SUMIFS(S37:S40,$B37:$B40,"B/S")</f>
        <v/>
      </c>
      <c r="T41" s="3">
        <f>SUMIFS(T37:T40,$B37:$B40,"B/S")</f>
        <v/>
      </c>
      <c r="U41" s="3">
        <f>SUMIFS(U37:U40,$B37:$B40,"B/S")</f>
        <v/>
      </c>
    </row>
    <row r="42">
      <c r="A42" t="inlineStr">
        <is>
          <t>備標</t>
        </is>
      </c>
      <c r="D42" s="7" t="inlineStr">
        <is>
          <t>P/L 合計（本期損益，負＝利益）</t>
        </is>
      </c>
      <c r="E42" s="3">
        <f>SUMIFS(E37:E40,$B37:$B40,"P/L")</f>
        <v/>
      </c>
      <c r="F42" s="3">
        <f>SUMIFS(F37:F40,$B37:$B40,"P/L")</f>
        <v/>
      </c>
      <c r="G42" s="3">
        <f>SUMIFS(G37:G40,$B37:$B40,"P/L")</f>
        <v/>
      </c>
      <c r="H42" s="3">
        <f>SUMIFS(H37:H40,$B37:$B40,"P/L")</f>
        <v/>
      </c>
      <c r="I42" s="3">
        <f>SUMIFS(I37:I40,$B37:$B40,"P/L")</f>
        <v/>
      </c>
      <c r="J42" s="3">
        <f>SUMIFS(J37:J40,$B37:$B40,"P/L")</f>
        <v/>
      </c>
      <c r="K42" s="3">
        <f>SUMIFS(K37:K40,$B37:$B40,"P/L")</f>
        <v/>
      </c>
      <c r="L42" s="3">
        <f>SUMIFS(L37:L40,$B37:$B40,"P/L")</f>
        <v/>
      </c>
      <c r="M42" s="3">
        <f>SUMIFS(M37:M40,$B37:$B40,"P/L")</f>
        <v/>
      </c>
      <c r="N42" s="3">
        <f>SUMIFS(N37:N40,$B37:$B40,"P/L")</f>
        <v/>
      </c>
      <c r="O42" s="3">
        <f>SUMIFS(O37:O40,$B37:$B40,"P/L")</f>
        <v/>
      </c>
      <c r="P42" s="3">
        <f>SUMIFS(P37:P40,$B37:$B40,"P/L")</f>
        <v/>
      </c>
      <c r="Q42" s="3">
        <f>SUMIFS(Q37:Q40,$B37:$B40,"P/L")</f>
        <v/>
      </c>
      <c r="R42" s="3">
        <f>SUMIFS(R37:R40,$B37:$B40,"P/L")</f>
        <v/>
      </c>
      <c r="S42" s="3">
        <f>SUMIFS(S37:S40,$B37:$B40,"P/L")</f>
        <v/>
      </c>
      <c r="T42" s="3">
        <f>SUMIFS(T37:T40,$B37:$B40,"P/L")</f>
        <v/>
      </c>
      <c r="U42" s="3">
        <f>SUMIFS(U37:U40,$B37:$B40,"P/L")</f>
        <v/>
      </c>
    </row>
    <row r="43">
      <c r="A43" s="4" t="inlineStr">
        <is>
          <t>備標</t>
        </is>
      </c>
      <c r="B43" s="4" t="n"/>
      <c r="C43" s="4" t="n"/>
      <c r="D43" s="9" t="inlineStr">
        <is>
          <t>B/S＋P/L（應為0）</t>
        </is>
      </c>
      <c r="E43" s="10">
        <f>ROUND(E41+E42,2)</f>
        <v/>
      </c>
      <c r="F43" s="10">
        <f>ROUND(F41+F42,2)</f>
        <v/>
      </c>
      <c r="G43" s="10">
        <f>ROUND(G41+G42,2)</f>
        <v/>
      </c>
      <c r="H43" s="10">
        <f>ROUND(H41+H42,2)</f>
        <v/>
      </c>
      <c r="I43" s="10">
        <f>ROUND(I41+I42,2)</f>
        <v/>
      </c>
      <c r="J43" s="10">
        <f>ROUND(J41+J42,2)</f>
        <v/>
      </c>
      <c r="K43" s="10">
        <f>ROUND(K41+K42,2)</f>
        <v/>
      </c>
      <c r="L43" s="10">
        <f>ROUND(L41+L42,2)</f>
        <v/>
      </c>
      <c r="M43" s="10">
        <f>ROUND(M41+M42,2)</f>
        <v/>
      </c>
      <c r="N43" s="10">
        <f>ROUND(N41+N42,2)</f>
        <v/>
      </c>
      <c r="O43" s="10">
        <f>ROUND(O41+O42,2)</f>
        <v/>
      </c>
      <c r="P43" s="10">
        <f>ROUND(P41+P42,2)</f>
        <v/>
      </c>
      <c r="Q43" s="10">
        <f>ROUND(Q41+Q42,2)</f>
        <v/>
      </c>
      <c r="R43" s="10">
        <f>ROUND(R41+R42,2)</f>
        <v/>
      </c>
      <c r="S43" s="10">
        <f>ROUND(S41+S42,2)</f>
        <v/>
      </c>
      <c r="T43" s="10">
        <f>ROUND(T41+T42,2)</f>
        <v/>
      </c>
      <c r="U43" s="10">
        <f>ROUND(U41+U42,2)</f>
        <v/>
      </c>
    </row>
    <row r="46">
      <c r="A46" s="7" t="inlineStr">
        <is>
          <t>在建・預收餘額滾算（期初＝A0/B0 累計2026/8；期末＝期初＋本表各期分錄累加）</t>
        </is>
      </c>
    </row>
    <row r="47">
      <c r="A47" s="7" t="n"/>
      <c r="B47" s="7" t="n"/>
      <c r="C47" s="7" t="n"/>
      <c r="D47" s="7" t="inlineStr">
        <is>
          <t>各期期末餘額（第一期已含期初＝累計2026/8）</t>
        </is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>
      <c r="A48" t="inlineStr">
        <is>
          <t>內案</t>
        </is>
      </c>
      <c r="C48" t="inlineStr">
        <is>
          <t>12400000</t>
        </is>
      </c>
      <c r="D48" t="inlineStr">
        <is>
          <t>在建工程 期末餘額</t>
        </is>
      </c>
      <c r="E48" s="3">
        <f>SUMIFS('來源明細'!$F$2:$F$1401,'來源明細'!$A$2:$A$1401,"累計2026/8",'來源明細'!$E$2:$E$1401,$A48)+SUMIFS('分錄'!H$5:H$54,'分錄'!$A$5:$A$54,$A48,'分錄'!$E$5:$E$54,$C48)</f>
        <v/>
      </c>
      <c r="F48" s="3">
        <f>E48+SUMIFS('分錄'!I$5:I$54,'分錄'!$A$5:$A$54,$A48,'分錄'!$E$5:$E$54,$C48)</f>
        <v/>
      </c>
      <c r="G48" s="3">
        <f>F48+SUMIFS('分錄'!J$5:J$54,'分錄'!$A$5:$A$54,$A48,'分錄'!$E$5:$E$54,$C48)</f>
        <v/>
      </c>
      <c r="H48" s="3">
        <f>G48+SUMIFS('分錄'!K$5:K$54,'分錄'!$A$5:$A$54,$A48,'分錄'!$E$5:$E$54,$C48)</f>
        <v/>
      </c>
      <c r="I48" s="3">
        <f>H48+SUMIFS('分錄'!L$5:L$54,'分錄'!$A$5:$A$54,$A48,'分錄'!$E$5:$E$54,$C48)</f>
        <v/>
      </c>
      <c r="J48" s="3">
        <f>I48+SUMIFS('分錄'!M$5:M$54,'分錄'!$A$5:$A$54,$A48,'分錄'!$E$5:$E$54,$C48)</f>
        <v/>
      </c>
      <c r="K48" s="3">
        <f>J48+SUMIFS('分錄'!N$5:N$54,'分錄'!$A$5:$A$54,$A48,'分錄'!$E$5:$E$54,$C48)</f>
        <v/>
      </c>
      <c r="L48" s="3">
        <f>K48+SUMIFS('分錄'!O$5:O$54,'分錄'!$A$5:$A$54,$A48,'分錄'!$E$5:$E$54,$C48)</f>
        <v/>
      </c>
      <c r="M48" s="3">
        <f>L48+SUMIFS('分錄'!P$5:P$54,'分錄'!$A$5:$A$54,$A48,'分錄'!$E$5:$E$54,$C48)</f>
        <v/>
      </c>
      <c r="N48" s="3">
        <f>M48+SUMIFS('分錄'!Q$5:Q$54,'分錄'!$A$5:$A$54,$A48,'分錄'!$E$5:$E$54,$C48)</f>
        <v/>
      </c>
      <c r="O48" s="3">
        <f>N48+SUMIFS('分錄'!R$5:R$54,'分錄'!$A$5:$A$54,$A48,'分錄'!$E$5:$E$54,$C48)</f>
        <v/>
      </c>
      <c r="P48" s="3">
        <f>O48+SUMIFS('分錄'!S$5:S$54,'分錄'!$A$5:$A$54,$A48,'分錄'!$E$5:$E$54,$C48)</f>
        <v/>
      </c>
      <c r="Q48" s="3">
        <f>P48+SUMIFS('分錄'!T$5:T$54,'分錄'!$A$5:$A$54,$A48,'分錄'!$E$5:$E$54,$C48)</f>
        <v/>
      </c>
      <c r="R48" s="3">
        <f>Q48+SUMIFS('分錄'!U$5:U$54,'分錄'!$A$5:$A$54,$A48,'分錄'!$E$5:$E$54,$C48)</f>
        <v/>
      </c>
      <c r="S48" s="3">
        <f>R48+SUMIFS('分錄'!V$5:V$54,'分錄'!$A$5:$A$54,$A48,'分錄'!$E$5:$E$54,$C48)</f>
        <v/>
      </c>
      <c r="T48" s="3">
        <f>S48+SUMIFS('分錄'!W$5:W$54,'分錄'!$A$5:$A$54,$A48,'分錄'!$E$5:$E$54,$C48)</f>
        <v/>
      </c>
      <c r="U48" s="3">
        <f>T48+SUMIFS('分錄'!X$5:X$54,'分錄'!$A$5:$A$54,$A48,'分錄'!$E$5:$E$54,$C48)</f>
        <v/>
      </c>
    </row>
    <row r="49">
      <c r="A49" t="inlineStr">
        <is>
          <t>內案</t>
        </is>
      </c>
      <c r="D49" s="11" t="inlineStr">
        <is>
          <t xml:space="preserve">  與A0/B0累計欄差異（應為0）</t>
        </is>
      </c>
      <c r="E49" s="3">
        <f>ROUND(E48-(SUMIFS('來源明細'!$F$2:$F$1401,'來源明細'!$A$2:$A$1401,"累計2026/12",'來源明細'!$E$2:$E$1401,$A49)),2)</f>
        <v/>
      </c>
      <c r="Q49" s="3">
        <f>ROUND(Q48-(SUMIFS('來源明細'!$F$2:$F$1401,'來源明細'!$A$2:$A$1401,"累計 Year 2027",'來源明細'!$E$2:$E$1401,$A49)),2)</f>
        <v/>
      </c>
      <c r="R49" s="3">
        <f>ROUND(R48-(SUMIFS('來源明細'!$F$2:$F$1401,'來源明細'!$A$2:$A$1401,"累計 Year 2028",'來源明細'!$E$2:$E$1401,$A49)),2)</f>
        <v/>
      </c>
      <c r="S49" s="3">
        <f>ROUND(S48-(SUMIFS('來源明細'!$F$2:$F$1401,'來源明細'!$A$2:$A$1401,"累計 Year 2029",'來源明細'!$E$2:$E$1401,$A49)),2)</f>
        <v/>
      </c>
      <c r="T49" s="3">
        <f>ROUND(T48-(SUMIFS('來源明細'!$F$2:$F$1401,'來源明細'!$A$2:$A$1401,"累計 Year 2030",'來源明細'!$E$2:$E$1401,$A49)),2)</f>
        <v/>
      </c>
      <c r="U49" s="3">
        <f>ROUND(U48-(SUMIFS('來源明細'!$F$2:$F$1401,'來源明細'!$A$2:$A$1401,"累計 Year 2031",'來源明細'!$E$2:$E$1401,$A49)),2)</f>
        <v/>
      </c>
    </row>
    <row r="50">
      <c r="A50" t="inlineStr">
        <is>
          <t>內案</t>
        </is>
      </c>
      <c r="C50" t="inlineStr">
        <is>
          <t>12470000</t>
        </is>
      </c>
      <c r="D50" t="inlineStr">
        <is>
          <t>在建損益-承攬案 期末餘額</t>
        </is>
      </c>
      <c r="E50" s="3">
        <f>SUMIFS('來源明細'!$G$2:$G$1401,'來源明細'!$A$2:$A$1401,"累計2026/8",'來源明細'!$E$2:$E$1401,$A50)+SUMIFS('分錄'!H$5:H$54,'分錄'!$A$5:$A$54,$A50,'分錄'!$E$5:$E$54,$C50)</f>
        <v/>
      </c>
      <c r="F50" s="3">
        <f>E50+SUMIFS('分錄'!I$5:I$54,'分錄'!$A$5:$A$54,$A50,'分錄'!$E$5:$E$54,$C50)</f>
        <v/>
      </c>
      <c r="G50" s="3">
        <f>F50+SUMIFS('分錄'!J$5:J$54,'分錄'!$A$5:$A$54,$A50,'分錄'!$E$5:$E$54,$C50)</f>
        <v/>
      </c>
      <c r="H50" s="3">
        <f>G50+SUMIFS('分錄'!K$5:K$54,'分錄'!$A$5:$A$54,$A50,'分錄'!$E$5:$E$54,$C50)</f>
        <v/>
      </c>
      <c r="I50" s="3">
        <f>H50+SUMIFS('分錄'!L$5:L$54,'分錄'!$A$5:$A$54,$A50,'分錄'!$E$5:$E$54,$C50)</f>
        <v/>
      </c>
      <c r="J50" s="3">
        <f>I50+SUMIFS('分錄'!M$5:M$54,'分錄'!$A$5:$A$54,$A50,'分錄'!$E$5:$E$54,$C50)</f>
        <v/>
      </c>
      <c r="K50" s="3">
        <f>J50+SUMIFS('分錄'!N$5:N$54,'分錄'!$A$5:$A$54,$A50,'分錄'!$E$5:$E$54,$C50)</f>
        <v/>
      </c>
      <c r="L50" s="3">
        <f>K50+SUMIFS('分錄'!O$5:O$54,'分錄'!$A$5:$A$54,$A50,'分錄'!$E$5:$E$54,$C50)</f>
        <v/>
      </c>
      <c r="M50" s="3">
        <f>L50+SUMIFS('分錄'!P$5:P$54,'分錄'!$A$5:$A$54,$A50,'分錄'!$E$5:$E$54,$C50)</f>
        <v/>
      </c>
      <c r="N50" s="3">
        <f>M50+SUMIFS('分錄'!Q$5:Q$54,'分錄'!$A$5:$A$54,$A50,'分錄'!$E$5:$E$54,$C50)</f>
        <v/>
      </c>
      <c r="O50" s="3">
        <f>N50+SUMIFS('分錄'!R$5:R$54,'分錄'!$A$5:$A$54,$A50,'分錄'!$E$5:$E$54,$C50)</f>
        <v/>
      </c>
      <c r="P50" s="3">
        <f>O50+SUMIFS('分錄'!S$5:S$54,'分錄'!$A$5:$A$54,$A50,'分錄'!$E$5:$E$54,$C50)</f>
        <v/>
      </c>
      <c r="Q50" s="3">
        <f>P50+SUMIFS('分錄'!T$5:T$54,'分錄'!$A$5:$A$54,$A50,'分錄'!$E$5:$E$54,$C50)</f>
        <v/>
      </c>
      <c r="R50" s="3">
        <f>Q50+SUMIFS('分錄'!U$5:U$54,'分錄'!$A$5:$A$54,$A50,'分錄'!$E$5:$E$54,$C50)</f>
        <v/>
      </c>
      <c r="S50" s="3">
        <f>R50+SUMIFS('分錄'!V$5:V$54,'分錄'!$A$5:$A$54,$A50,'分錄'!$E$5:$E$54,$C50)</f>
        <v/>
      </c>
      <c r="T50" s="3">
        <f>S50+SUMIFS('分錄'!W$5:W$54,'分錄'!$A$5:$A$54,$A50,'分錄'!$E$5:$E$54,$C50)</f>
        <v/>
      </c>
      <c r="U50" s="3">
        <f>T50+SUMIFS('分錄'!X$5:X$54,'分錄'!$A$5:$A$54,$A50,'分錄'!$E$5:$E$54,$C50)</f>
        <v/>
      </c>
    </row>
    <row r="51">
      <c r="A51" t="inlineStr">
        <is>
          <t>內案</t>
        </is>
      </c>
      <c r="D51" s="11" t="inlineStr">
        <is>
          <t xml:space="preserve">  與A0/B0累計欄差異（應為0）</t>
        </is>
      </c>
      <c r="E51" s="3">
        <f>ROUND(E50-(SUMIFS('來源明細'!$G$2:$G$1401,'來源明細'!$A$2:$A$1401,"累計2026/12",'來源明細'!$E$2:$E$1401,$A51)),2)</f>
        <v/>
      </c>
      <c r="Q51" s="3">
        <f>ROUND(Q50-(SUMIFS('來源明細'!$G$2:$G$1401,'來源明細'!$A$2:$A$1401,"累計 Year 2027",'來源明細'!$E$2:$E$1401,$A51)),2)</f>
        <v/>
      </c>
      <c r="R51" s="3">
        <f>ROUND(R50-(SUMIFS('來源明細'!$G$2:$G$1401,'來源明細'!$A$2:$A$1401,"累計 Year 2028",'來源明細'!$E$2:$E$1401,$A51)),2)</f>
        <v/>
      </c>
      <c r="S51" s="3">
        <f>ROUND(S50-(SUMIFS('來源明細'!$G$2:$G$1401,'來源明細'!$A$2:$A$1401,"累計 Year 2029",'來源明細'!$E$2:$E$1401,$A51)),2)</f>
        <v/>
      </c>
      <c r="T51" s="3">
        <f>ROUND(T50-(SUMIFS('來源明細'!$G$2:$G$1401,'來源明細'!$A$2:$A$1401,"累計 Year 2030",'來源明細'!$E$2:$E$1401,$A51)),2)</f>
        <v/>
      </c>
      <c r="U51" s="3">
        <f>ROUND(U50-(SUMIFS('來源明細'!$G$2:$G$1401,'來源明細'!$A$2:$A$1401,"累計 Year 2031",'來源明細'!$E$2:$E$1401,$A51)),2)</f>
        <v/>
      </c>
    </row>
    <row r="52">
      <c r="A52" t="inlineStr">
        <is>
          <t>內案</t>
        </is>
      </c>
      <c r="C52" t="inlineStr">
        <is>
          <t>22640000</t>
        </is>
      </c>
      <c r="D52" t="inlineStr">
        <is>
          <t>預收工程款 期末餘額</t>
        </is>
      </c>
      <c r="E52" s="3">
        <f>-SUMIFS('來源明細'!$J$2:$J$1401,'來源明細'!$A$2:$A$1401,"累計2026/8",'來源明細'!$E$2:$E$1401,$A52)+SUMIFS('分錄'!H$5:H$54,'分錄'!$A$5:$A$54,$A52,'分錄'!$E$5:$E$54,$C52)</f>
        <v/>
      </c>
      <c r="F52" s="3">
        <f>E52+SUMIFS('分錄'!I$5:I$54,'分錄'!$A$5:$A$54,$A52,'分錄'!$E$5:$E$54,$C52)</f>
        <v/>
      </c>
      <c r="G52" s="3">
        <f>F52+SUMIFS('分錄'!J$5:J$54,'分錄'!$A$5:$A$54,$A52,'分錄'!$E$5:$E$54,$C52)</f>
        <v/>
      </c>
      <c r="H52" s="3">
        <f>G52+SUMIFS('分錄'!K$5:K$54,'分錄'!$A$5:$A$54,$A52,'分錄'!$E$5:$E$54,$C52)</f>
        <v/>
      </c>
      <c r="I52" s="3">
        <f>H52+SUMIFS('分錄'!L$5:L$54,'分錄'!$A$5:$A$54,$A52,'分錄'!$E$5:$E$54,$C52)</f>
        <v/>
      </c>
      <c r="J52" s="3">
        <f>I52+SUMIFS('分錄'!M$5:M$54,'分錄'!$A$5:$A$54,$A52,'分錄'!$E$5:$E$54,$C52)</f>
        <v/>
      </c>
      <c r="K52" s="3">
        <f>J52+SUMIFS('分錄'!N$5:N$54,'分錄'!$A$5:$A$54,$A52,'分錄'!$E$5:$E$54,$C52)</f>
        <v/>
      </c>
      <c r="L52" s="3">
        <f>K52+SUMIFS('分錄'!O$5:O$54,'分錄'!$A$5:$A$54,$A52,'分錄'!$E$5:$E$54,$C52)</f>
        <v/>
      </c>
      <c r="M52" s="3">
        <f>L52+SUMIFS('分錄'!P$5:P$54,'分錄'!$A$5:$A$54,$A52,'分錄'!$E$5:$E$54,$C52)</f>
        <v/>
      </c>
      <c r="N52" s="3">
        <f>M52+SUMIFS('分錄'!Q$5:Q$54,'分錄'!$A$5:$A$54,$A52,'分錄'!$E$5:$E$54,$C52)</f>
        <v/>
      </c>
      <c r="O52" s="3">
        <f>N52+SUMIFS('分錄'!R$5:R$54,'分錄'!$A$5:$A$54,$A52,'分錄'!$E$5:$E$54,$C52)</f>
        <v/>
      </c>
      <c r="P52" s="3">
        <f>O52+SUMIFS('分錄'!S$5:S$54,'分錄'!$A$5:$A$54,$A52,'分錄'!$E$5:$E$54,$C52)</f>
        <v/>
      </c>
      <c r="Q52" s="3">
        <f>P52+SUMIFS('分錄'!T$5:T$54,'分錄'!$A$5:$A$54,$A52,'分錄'!$E$5:$E$54,$C52)</f>
        <v/>
      </c>
      <c r="R52" s="3">
        <f>Q52+SUMIFS('分錄'!U$5:U$54,'分錄'!$A$5:$A$54,$A52,'分錄'!$E$5:$E$54,$C52)</f>
        <v/>
      </c>
      <c r="S52" s="3">
        <f>R52+SUMIFS('分錄'!V$5:V$54,'分錄'!$A$5:$A$54,$A52,'分錄'!$E$5:$E$54,$C52)</f>
        <v/>
      </c>
      <c r="T52" s="3">
        <f>S52+SUMIFS('分錄'!W$5:W$54,'分錄'!$A$5:$A$54,$A52,'分錄'!$E$5:$E$54,$C52)</f>
        <v/>
      </c>
      <c r="U52" s="3">
        <f>T52+SUMIFS('分錄'!X$5:X$54,'分錄'!$A$5:$A$54,$A52,'分錄'!$E$5:$E$54,$C52)</f>
        <v/>
      </c>
    </row>
    <row r="53">
      <c r="A53" t="inlineStr">
        <is>
          <t>內案</t>
        </is>
      </c>
      <c r="D53" s="11" t="inlineStr">
        <is>
          <t xml:space="preserve">  與A0/B0累計欄差異（應為0）</t>
        </is>
      </c>
      <c r="E53" s="3">
        <f>ROUND(E52-(-SUMIFS('來源明細'!$J$2:$J$1401,'來源明細'!$A$2:$A$1401,"累計2026/12",'來源明細'!$E$2:$E$1401,$A53)),2)</f>
        <v/>
      </c>
      <c r="Q53" s="3">
        <f>ROUND(Q52-(-SUMIFS('來源明細'!$J$2:$J$1401,'來源明細'!$A$2:$A$1401,"累計 Year 2027",'來源明細'!$E$2:$E$1401,$A53)),2)</f>
        <v/>
      </c>
      <c r="R53" s="3">
        <f>ROUND(R52-(-SUMIFS('來源明細'!$J$2:$J$1401,'來源明細'!$A$2:$A$1401,"累計 Year 2028",'來源明細'!$E$2:$E$1401,$A53)),2)</f>
        <v/>
      </c>
      <c r="S53" s="3">
        <f>ROUND(S52-(-SUMIFS('來源明細'!$J$2:$J$1401,'來源明細'!$A$2:$A$1401,"累計 Year 2029",'來源明細'!$E$2:$E$1401,$A53)),2)</f>
        <v/>
      </c>
      <c r="T53" s="3">
        <f>ROUND(T52-(-SUMIFS('來源明細'!$J$2:$J$1401,'來源明細'!$A$2:$A$1401,"累計 Year 2030",'來源明細'!$E$2:$E$1401,$A53)),2)</f>
        <v/>
      </c>
      <c r="U53" s="3">
        <f>ROUND(U52-(-SUMIFS('來源明細'!$J$2:$J$1401,'來源明細'!$A$2:$A$1401,"累計 Year 2031",'來源明細'!$E$2:$E$1401,$A53)),2)</f>
        <v/>
      </c>
    </row>
    <row r="54">
      <c r="A54" t="inlineStr">
        <is>
          <t>內案</t>
        </is>
      </c>
      <c r="D54" s="7" t="inlineStr">
        <is>
          <t>合約淨額（1240+1247+2264；正＝應收建造合約款、負＝應付）</t>
        </is>
      </c>
      <c r="E54" s="3">
        <f>E48+E50+E52</f>
        <v/>
      </c>
      <c r="F54" s="3">
        <f>F48+F50+F52</f>
        <v/>
      </c>
      <c r="G54" s="3">
        <f>G48+G50+G52</f>
        <v/>
      </c>
      <c r="H54" s="3">
        <f>H48+H50+H52</f>
        <v/>
      </c>
      <c r="I54" s="3">
        <f>I48+I50+I52</f>
        <v/>
      </c>
      <c r="J54" s="3">
        <f>J48+J50+J52</f>
        <v/>
      </c>
      <c r="K54" s="3">
        <f>K48+K50+K52</f>
        <v/>
      </c>
      <c r="L54" s="3">
        <f>L48+L50+L52</f>
        <v/>
      </c>
      <c r="M54" s="3">
        <f>M48+M50+M52</f>
        <v/>
      </c>
      <c r="N54" s="3">
        <f>N48+N50+N52</f>
        <v/>
      </c>
      <c r="O54" s="3">
        <f>O48+O50+O52</f>
        <v/>
      </c>
      <c r="P54" s="3">
        <f>P48+P50+P52</f>
        <v/>
      </c>
      <c r="Q54" s="3">
        <f>Q48+Q50+Q52</f>
        <v/>
      </c>
      <c r="R54" s="3">
        <f>R48+R50+R52</f>
        <v/>
      </c>
      <c r="S54" s="3">
        <f>S48+S50+S52</f>
        <v/>
      </c>
      <c r="T54" s="3">
        <f>T48+T50+T52</f>
        <v/>
      </c>
      <c r="U54" s="3">
        <f>U48+U50+U52</f>
        <v/>
      </c>
    </row>
    <row r="56">
      <c r="A56" t="inlineStr">
        <is>
          <t>外案</t>
        </is>
      </c>
      <c r="C56" t="inlineStr">
        <is>
          <t>12400000</t>
        </is>
      </c>
      <c r="D56" t="inlineStr">
        <is>
          <t>在建工程 期末餘額</t>
        </is>
      </c>
      <c r="E56" s="3">
        <f>SUMIFS('來源明細'!$F$2:$F$1401,'來源明細'!$A$2:$A$1401,"累計2026/8",'來源明細'!$E$2:$E$1401,$A56)+SUMIFS('分錄'!H$5:H$54,'分錄'!$A$5:$A$54,$A56,'分錄'!$E$5:$E$54,$C56)</f>
        <v/>
      </c>
      <c r="F56" s="3">
        <f>E56+SUMIFS('分錄'!I$5:I$54,'分錄'!$A$5:$A$54,$A56,'分錄'!$E$5:$E$54,$C56)</f>
        <v/>
      </c>
      <c r="G56" s="3">
        <f>F56+SUMIFS('分錄'!J$5:J$54,'分錄'!$A$5:$A$54,$A56,'分錄'!$E$5:$E$54,$C56)</f>
        <v/>
      </c>
      <c r="H56" s="3">
        <f>G56+SUMIFS('分錄'!K$5:K$54,'分錄'!$A$5:$A$54,$A56,'分錄'!$E$5:$E$54,$C56)</f>
        <v/>
      </c>
      <c r="I56" s="3">
        <f>H56+SUMIFS('分錄'!L$5:L$54,'分錄'!$A$5:$A$54,$A56,'分錄'!$E$5:$E$54,$C56)</f>
        <v/>
      </c>
      <c r="J56" s="3">
        <f>I56+SUMIFS('分錄'!M$5:M$54,'分錄'!$A$5:$A$54,$A56,'分錄'!$E$5:$E$54,$C56)</f>
        <v/>
      </c>
      <c r="K56" s="3">
        <f>J56+SUMIFS('分錄'!N$5:N$54,'分錄'!$A$5:$A$54,$A56,'分錄'!$E$5:$E$54,$C56)</f>
        <v/>
      </c>
      <c r="L56" s="3">
        <f>K56+SUMIFS('分錄'!O$5:O$54,'分錄'!$A$5:$A$54,$A56,'分錄'!$E$5:$E$54,$C56)</f>
        <v/>
      </c>
      <c r="M56" s="3">
        <f>L56+SUMIFS('分錄'!P$5:P$54,'分錄'!$A$5:$A$54,$A56,'分錄'!$E$5:$E$54,$C56)</f>
        <v/>
      </c>
      <c r="N56" s="3">
        <f>M56+SUMIFS('分錄'!Q$5:Q$54,'分錄'!$A$5:$A$54,$A56,'分錄'!$E$5:$E$54,$C56)</f>
        <v/>
      </c>
      <c r="O56" s="3">
        <f>N56+SUMIFS('分錄'!R$5:R$54,'分錄'!$A$5:$A$54,$A56,'分錄'!$E$5:$E$54,$C56)</f>
        <v/>
      </c>
      <c r="P56" s="3">
        <f>O56+SUMIFS('分錄'!S$5:S$54,'分錄'!$A$5:$A$54,$A56,'分錄'!$E$5:$E$54,$C56)</f>
        <v/>
      </c>
      <c r="Q56" s="3">
        <f>P56+SUMIFS('分錄'!T$5:T$54,'分錄'!$A$5:$A$54,$A56,'分錄'!$E$5:$E$54,$C56)</f>
        <v/>
      </c>
      <c r="R56" s="3">
        <f>Q56+SUMIFS('分錄'!U$5:U$54,'分錄'!$A$5:$A$54,$A56,'分錄'!$E$5:$E$54,$C56)</f>
        <v/>
      </c>
      <c r="S56" s="3">
        <f>R56+SUMIFS('分錄'!V$5:V$54,'分錄'!$A$5:$A$54,$A56,'分錄'!$E$5:$E$54,$C56)</f>
        <v/>
      </c>
      <c r="T56" s="3">
        <f>S56+SUMIFS('分錄'!W$5:W$54,'分錄'!$A$5:$A$54,$A56,'分錄'!$E$5:$E$54,$C56)</f>
        <v/>
      </c>
      <c r="U56" s="3">
        <f>T56+SUMIFS('分錄'!X$5:X$54,'分錄'!$A$5:$A$54,$A56,'分錄'!$E$5:$E$54,$C56)</f>
        <v/>
      </c>
    </row>
    <row r="57">
      <c r="A57" t="inlineStr">
        <is>
          <t>外案</t>
        </is>
      </c>
      <c r="D57" s="11" t="inlineStr">
        <is>
          <t xml:space="preserve">  與A0/B0累計欄差異（應為0）</t>
        </is>
      </c>
      <c r="E57" s="3">
        <f>ROUND(E56-(SUMIFS('來源明細'!$F$2:$F$1401,'來源明細'!$A$2:$A$1401,"累計2026/12",'來源明細'!$E$2:$E$1401,$A57)),2)</f>
        <v/>
      </c>
      <c r="Q57" s="3">
        <f>ROUND(Q56-(SUMIFS('來源明細'!$F$2:$F$1401,'來源明細'!$A$2:$A$1401,"累計 Year 2027",'來源明細'!$E$2:$E$1401,$A57)),2)</f>
        <v/>
      </c>
      <c r="R57" s="3">
        <f>ROUND(R56-(SUMIFS('來源明細'!$F$2:$F$1401,'來源明細'!$A$2:$A$1401,"累計 Year 2028",'來源明細'!$E$2:$E$1401,$A57)),2)</f>
        <v/>
      </c>
      <c r="S57" s="3">
        <f>ROUND(S56-(SUMIFS('來源明細'!$F$2:$F$1401,'來源明細'!$A$2:$A$1401,"累計 Year 2029",'來源明細'!$E$2:$E$1401,$A57)),2)</f>
        <v/>
      </c>
      <c r="T57" s="3">
        <f>ROUND(T56-(SUMIFS('來源明細'!$F$2:$F$1401,'來源明細'!$A$2:$A$1401,"累計 Year 2030",'來源明細'!$E$2:$E$1401,$A57)),2)</f>
        <v/>
      </c>
      <c r="U57" s="3">
        <f>ROUND(U56-(SUMIFS('來源明細'!$F$2:$F$1401,'來源明細'!$A$2:$A$1401,"累計 Year 2031",'來源明細'!$E$2:$E$1401,$A57)),2)</f>
        <v/>
      </c>
    </row>
    <row r="58">
      <c r="A58" t="inlineStr">
        <is>
          <t>外案</t>
        </is>
      </c>
      <c r="C58" t="inlineStr">
        <is>
          <t>12470000</t>
        </is>
      </c>
      <c r="D58" t="inlineStr">
        <is>
          <t>在建損益-承攬案 期末餘額</t>
        </is>
      </c>
      <c r="E58" s="3">
        <f>SUMIFS('來源明細'!$G$2:$G$1401,'來源明細'!$A$2:$A$1401,"累計2026/8",'來源明細'!$E$2:$E$1401,$A58)+SUMIFS('分錄'!H$5:H$54,'分錄'!$A$5:$A$54,$A58,'分錄'!$E$5:$E$54,$C58)</f>
        <v/>
      </c>
      <c r="F58" s="3">
        <f>E58+SUMIFS('分錄'!I$5:I$54,'分錄'!$A$5:$A$54,$A58,'分錄'!$E$5:$E$54,$C58)</f>
        <v/>
      </c>
      <c r="G58" s="3">
        <f>F58+SUMIFS('分錄'!J$5:J$54,'分錄'!$A$5:$A$54,$A58,'分錄'!$E$5:$E$54,$C58)</f>
        <v/>
      </c>
      <c r="H58" s="3">
        <f>G58+SUMIFS('分錄'!K$5:K$54,'分錄'!$A$5:$A$54,$A58,'分錄'!$E$5:$E$54,$C58)</f>
        <v/>
      </c>
      <c r="I58" s="3">
        <f>H58+SUMIFS('分錄'!L$5:L$54,'分錄'!$A$5:$A$54,$A58,'分錄'!$E$5:$E$54,$C58)</f>
        <v/>
      </c>
      <c r="J58" s="3">
        <f>I58+SUMIFS('分錄'!M$5:M$54,'分錄'!$A$5:$A$54,$A58,'分錄'!$E$5:$E$54,$C58)</f>
        <v/>
      </c>
      <c r="K58" s="3">
        <f>J58+SUMIFS('分錄'!N$5:N$54,'分錄'!$A$5:$A$54,$A58,'分錄'!$E$5:$E$54,$C58)</f>
        <v/>
      </c>
      <c r="L58" s="3">
        <f>K58+SUMIFS('分錄'!O$5:O$54,'分錄'!$A$5:$A$54,$A58,'分錄'!$E$5:$E$54,$C58)</f>
        <v/>
      </c>
      <c r="M58" s="3">
        <f>L58+SUMIFS('分錄'!P$5:P$54,'分錄'!$A$5:$A$54,$A58,'分錄'!$E$5:$E$54,$C58)</f>
        <v/>
      </c>
      <c r="N58" s="3">
        <f>M58+SUMIFS('分錄'!Q$5:Q$54,'分錄'!$A$5:$A$54,$A58,'分錄'!$E$5:$E$54,$C58)</f>
        <v/>
      </c>
      <c r="O58" s="3">
        <f>N58+SUMIFS('分錄'!R$5:R$54,'分錄'!$A$5:$A$54,$A58,'分錄'!$E$5:$E$54,$C58)</f>
        <v/>
      </c>
      <c r="P58" s="3">
        <f>O58+SUMIFS('分錄'!S$5:S$54,'分錄'!$A$5:$A$54,$A58,'分錄'!$E$5:$E$54,$C58)</f>
        <v/>
      </c>
      <c r="Q58" s="3">
        <f>P58+SUMIFS('分錄'!T$5:T$54,'分錄'!$A$5:$A$54,$A58,'分錄'!$E$5:$E$54,$C58)</f>
        <v/>
      </c>
      <c r="R58" s="3">
        <f>Q58+SUMIFS('分錄'!U$5:U$54,'分錄'!$A$5:$A$54,$A58,'分錄'!$E$5:$E$54,$C58)</f>
        <v/>
      </c>
      <c r="S58" s="3">
        <f>R58+SUMIFS('分錄'!V$5:V$54,'分錄'!$A$5:$A$54,$A58,'分錄'!$E$5:$E$54,$C58)</f>
        <v/>
      </c>
      <c r="T58" s="3">
        <f>S58+SUMIFS('分錄'!W$5:W$54,'分錄'!$A$5:$A$54,$A58,'分錄'!$E$5:$E$54,$C58)</f>
        <v/>
      </c>
      <c r="U58" s="3">
        <f>T58+SUMIFS('分錄'!X$5:X$54,'分錄'!$A$5:$A$54,$A58,'分錄'!$E$5:$E$54,$C58)</f>
        <v/>
      </c>
    </row>
    <row r="59">
      <c r="A59" t="inlineStr">
        <is>
          <t>外案</t>
        </is>
      </c>
      <c r="D59" s="11" t="inlineStr">
        <is>
          <t xml:space="preserve">  與A0/B0累計欄差異（應為0）</t>
        </is>
      </c>
      <c r="E59" s="3">
        <f>ROUND(E58-(SUMIFS('來源明細'!$G$2:$G$1401,'來源明細'!$A$2:$A$1401,"累計2026/12",'來源明細'!$E$2:$E$1401,$A59)),2)</f>
        <v/>
      </c>
      <c r="Q59" s="3">
        <f>ROUND(Q58-(SUMIFS('來源明細'!$G$2:$G$1401,'來源明細'!$A$2:$A$1401,"累計 Year 2027",'來源明細'!$E$2:$E$1401,$A59)),2)</f>
        <v/>
      </c>
      <c r="R59" s="3">
        <f>ROUND(R58-(SUMIFS('來源明細'!$G$2:$G$1401,'來源明細'!$A$2:$A$1401,"累計 Year 2028",'來源明細'!$E$2:$E$1401,$A59)),2)</f>
        <v/>
      </c>
      <c r="S59" s="3">
        <f>ROUND(S58-(SUMIFS('來源明細'!$G$2:$G$1401,'來源明細'!$A$2:$A$1401,"累計 Year 2029",'來源明細'!$E$2:$E$1401,$A59)),2)</f>
        <v/>
      </c>
      <c r="T59" s="3">
        <f>ROUND(T58-(SUMIFS('來源明細'!$G$2:$G$1401,'來源明細'!$A$2:$A$1401,"累計 Year 2030",'來源明細'!$E$2:$E$1401,$A59)),2)</f>
        <v/>
      </c>
      <c r="U59" s="3">
        <f>ROUND(U58-(SUMIFS('來源明細'!$G$2:$G$1401,'來源明細'!$A$2:$A$1401,"累計 Year 2031",'來源明細'!$E$2:$E$1401,$A59)),2)</f>
        <v/>
      </c>
    </row>
    <row r="60">
      <c r="A60" t="inlineStr">
        <is>
          <t>外案</t>
        </is>
      </c>
      <c r="C60" t="inlineStr">
        <is>
          <t>22640000</t>
        </is>
      </c>
      <c r="D60" t="inlineStr">
        <is>
          <t>預收工程款 期末餘額</t>
        </is>
      </c>
      <c r="E60" s="3">
        <f>-SUMIFS('來源明細'!$J$2:$J$1401,'來源明細'!$A$2:$A$1401,"累計2026/8",'來源明細'!$E$2:$E$1401,$A60)+SUMIFS('分錄'!H$5:H$54,'分錄'!$A$5:$A$54,$A60,'分錄'!$E$5:$E$54,$C60)</f>
        <v/>
      </c>
      <c r="F60" s="3">
        <f>E60+SUMIFS('分錄'!I$5:I$54,'分錄'!$A$5:$A$54,$A60,'分錄'!$E$5:$E$54,$C60)</f>
        <v/>
      </c>
      <c r="G60" s="3">
        <f>F60+SUMIFS('分錄'!J$5:J$54,'分錄'!$A$5:$A$54,$A60,'分錄'!$E$5:$E$54,$C60)</f>
        <v/>
      </c>
      <c r="H60" s="3">
        <f>G60+SUMIFS('分錄'!K$5:K$54,'分錄'!$A$5:$A$54,$A60,'分錄'!$E$5:$E$54,$C60)</f>
        <v/>
      </c>
      <c r="I60" s="3">
        <f>H60+SUMIFS('分錄'!L$5:L$54,'分錄'!$A$5:$A$54,$A60,'分錄'!$E$5:$E$54,$C60)</f>
        <v/>
      </c>
      <c r="J60" s="3">
        <f>I60+SUMIFS('分錄'!M$5:M$54,'分錄'!$A$5:$A$54,$A60,'分錄'!$E$5:$E$54,$C60)</f>
        <v/>
      </c>
      <c r="K60" s="3">
        <f>J60+SUMIFS('分錄'!N$5:N$54,'分錄'!$A$5:$A$54,$A60,'分錄'!$E$5:$E$54,$C60)</f>
        <v/>
      </c>
      <c r="L60" s="3">
        <f>K60+SUMIFS('分錄'!O$5:O$54,'分錄'!$A$5:$A$54,$A60,'分錄'!$E$5:$E$54,$C60)</f>
        <v/>
      </c>
      <c r="M60" s="3">
        <f>L60+SUMIFS('分錄'!P$5:P$54,'分錄'!$A$5:$A$54,$A60,'分錄'!$E$5:$E$54,$C60)</f>
        <v/>
      </c>
      <c r="N60" s="3">
        <f>M60+SUMIFS('分錄'!Q$5:Q$54,'分錄'!$A$5:$A$54,$A60,'分錄'!$E$5:$E$54,$C60)</f>
        <v/>
      </c>
      <c r="O60" s="3">
        <f>N60+SUMIFS('分錄'!R$5:R$54,'分錄'!$A$5:$A$54,$A60,'分錄'!$E$5:$E$54,$C60)</f>
        <v/>
      </c>
      <c r="P60" s="3">
        <f>O60+SUMIFS('分錄'!S$5:S$54,'分錄'!$A$5:$A$54,$A60,'分錄'!$E$5:$E$54,$C60)</f>
        <v/>
      </c>
      <c r="Q60" s="3">
        <f>P60+SUMIFS('分錄'!T$5:T$54,'分錄'!$A$5:$A$54,$A60,'分錄'!$E$5:$E$54,$C60)</f>
        <v/>
      </c>
      <c r="R60" s="3">
        <f>Q60+SUMIFS('分錄'!U$5:U$54,'分錄'!$A$5:$A$54,$A60,'分錄'!$E$5:$E$54,$C60)</f>
        <v/>
      </c>
      <c r="S60" s="3">
        <f>R60+SUMIFS('分錄'!V$5:V$54,'分錄'!$A$5:$A$54,$A60,'分錄'!$E$5:$E$54,$C60)</f>
        <v/>
      </c>
      <c r="T60" s="3">
        <f>S60+SUMIFS('分錄'!W$5:W$54,'分錄'!$A$5:$A$54,$A60,'分錄'!$E$5:$E$54,$C60)</f>
        <v/>
      </c>
      <c r="U60" s="3">
        <f>T60+SUMIFS('分錄'!X$5:X$54,'分錄'!$A$5:$A$54,$A60,'分錄'!$E$5:$E$54,$C60)</f>
        <v/>
      </c>
    </row>
    <row r="61">
      <c r="A61" t="inlineStr">
        <is>
          <t>外案</t>
        </is>
      </c>
      <c r="D61" s="11" t="inlineStr">
        <is>
          <t xml:space="preserve">  與A0/B0累計欄差異（應為0）</t>
        </is>
      </c>
      <c r="E61" s="3">
        <f>ROUND(E60-(-SUMIFS('來源明細'!$J$2:$J$1401,'來源明細'!$A$2:$A$1401,"累計2026/12",'來源明細'!$E$2:$E$1401,$A61)),2)</f>
        <v/>
      </c>
      <c r="Q61" s="3">
        <f>ROUND(Q60-(-SUMIFS('來源明細'!$J$2:$J$1401,'來源明細'!$A$2:$A$1401,"累計 Year 2027",'來源明細'!$E$2:$E$1401,$A61)),2)</f>
        <v/>
      </c>
      <c r="R61" s="3">
        <f>ROUND(R60-(-SUMIFS('來源明細'!$J$2:$J$1401,'來源明細'!$A$2:$A$1401,"累計 Year 2028",'來源明細'!$E$2:$E$1401,$A61)),2)</f>
        <v/>
      </c>
      <c r="S61" s="3">
        <f>ROUND(S60-(-SUMIFS('來源明細'!$J$2:$J$1401,'來源明細'!$A$2:$A$1401,"累計 Year 2029",'來源明細'!$E$2:$E$1401,$A61)),2)</f>
        <v/>
      </c>
      <c r="T61" s="3">
        <f>ROUND(T60-(-SUMIFS('來源明細'!$J$2:$J$1401,'來源明細'!$A$2:$A$1401,"累計 Year 2030",'來源明細'!$E$2:$E$1401,$A61)),2)</f>
        <v/>
      </c>
      <c r="U61" s="3">
        <f>ROUND(U60-(-SUMIFS('來源明細'!$J$2:$J$1401,'來源明細'!$A$2:$A$1401,"累計 Year 2031",'來源明細'!$E$2:$E$1401,$A61)),2)</f>
        <v/>
      </c>
    </row>
    <row r="62">
      <c r="A62" t="inlineStr">
        <is>
          <t>外案</t>
        </is>
      </c>
      <c r="D62" s="7" t="inlineStr">
        <is>
          <t>合約淨額（1240+1247+2264；正＝應收建造合約款、負＝應付）</t>
        </is>
      </c>
      <c r="E62" s="3">
        <f>E56+E58+E60</f>
        <v/>
      </c>
      <c r="F62" s="3">
        <f>F56+F58+F60</f>
        <v/>
      </c>
      <c r="G62" s="3">
        <f>G56+G58+G60</f>
        <v/>
      </c>
      <c r="H62" s="3">
        <f>H56+H58+H60</f>
        <v/>
      </c>
      <c r="I62" s="3">
        <f>I56+I58+I60</f>
        <v/>
      </c>
      <c r="J62" s="3">
        <f>J56+J58+J60</f>
        <v/>
      </c>
      <c r="K62" s="3">
        <f>K56+K58+K60</f>
        <v/>
      </c>
      <c r="L62" s="3">
        <f>L56+L58+L60</f>
        <v/>
      </c>
      <c r="M62" s="3">
        <f>M56+M58+M60</f>
        <v/>
      </c>
      <c r="N62" s="3">
        <f>N56+N58+N60</f>
        <v/>
      </c>
      <c r="O62" s="3">
        <f>O56+O58+O60</f>
        <v/>
      </c>
      <c r="P62" s="3">
        <f>P56+P58+P60</f>
        <v/>
      </c>
      <c r="Q62" s="3">
        <f>Q56+Q58+Q60</f>
        <v/>
      </c>
      <c r="R62" s="3">
        <f>R56+R58+R60</f>
        <v/>
      </c>
      <c r="S62" s="3">
        <f>S56+S58+S60</f>
        <v/>
      </c>
      <c r="T62" s="3">
        <f>T56+T58+T60</f>
        <v/>
      </c>
      <c r="U62" s="3">
        <f>U56+U58+U60</f>
        <v/>
      </c>
    </row>
    <row r="65">
      <c r="D65" s="7" t="inlineStr">
        <is>
          <t>檢核結果</t>
        </is>
      </c>
      <c r="E65" s="8">
        <f>IF((ABS(E14)+ABS(E27)+ABS(E35)+ABS(E43)+ABS(E49)+ABS(E51)+ABS(E53)+ABS(E57)+ABS(E59)+ABS(E61))&lt;0.5,"OK","不符")</f>
        <v/>
      </c>
      <c r="F65" s="8">
        <f>IF((ABS(F14)+ABS(F27)+ABS(F35)+ABS(F43)+ABS(F49)+ABS(F51)+ABS(F53)+ABS(F57)+ABS(F59)+ABS(F61))&lt;0.5,"OK","不符")</f>
        <v/>
      </c>
      <c r="G65" s="8">
        <f>IF((ABS(G14)+ABS(G27)+ABS(G35)+ABS(G43)+ABS(G49)+ABS(G51)+ABS(G53)+ABS(G57)+ABS(G59)+ABS(G61))&lt;0.5,"OK","不符")</f>
        <v/>
      </c>
      <c r="H65" s="8">
        <f>IF((ABS(H14)+ABS(H27)+ABS(H35)+ABS(H43)+ABS(H49)+ABS(H51)+ABS(H53)+ABS(H57)+ABS(H59)+ABS(H61))&lt;0.5,"OK","不符")</f>
        <v/>
      </c>
      <c r="I65" s="8">
        <f>IF((ABS(I14)+ABS(I27)+ABS(I35)+ABS(I43)+ABS(I49)+ABS(I51)+ABS(I53)+ABS(I57)+ABS(I59)+ABS(I61))&lt;0.5,"OK","不符")</f>
        <v/>
      </c>
      <c r="J65" s="8">
        <f>IF((ABS(J14)+ABS(J27)+ABS(J35)+ABS(J43)+ABS(J49)+ABS(J51)+ABS(J53)+ABS(J57)+ABS(J59)+ABS(J61))&lt;0.5,"OK","不符")</f>
        <v/>
      </c>
      <c r="K65" s="8">
        <f>IF((ABS(K14)+ABS(K27)+ABS(K35)+ABS(K43)+ABS(K49)+ABS(K51)+ABS(K53)+ABS(K57)+ABS(K59)+ABS(K61))&lt;0.5,"OK","不符")</f>
        <v/>
      </c>
      <c r="L65" s="8">
        <f>IF((ABS(L14)+ABS(L27)+ABS(L35)+ABS(L43)+ABS(L49)+ABS(L51)+ABS(L53)+ABS(L57)+ABS(L59)+ABS(L61))&lt;0.5,"OK","不符")</f>
        <v/>
      </c>
      <c r="M65" s="8">
        <f>IF((ABS(M14)+ABS(M27)+ABS(M35)+ABS(M43)+ABS(M49)+ABS(M51)+ABS(M53)+ABS(M57)+ABS(M59)+ABS(M61))&lt;0.5,"OK","不符")</f>
        <v/>
      </c>
      <c r="N65" s="8">
        <f>IF((ABS(N14)+ABS(N27)+ABS(N35)+ABS(N43)+ABS(N49)+ABS(N51)+ABS(N53)+ABS(N57)+ABS(N59)+ABS(N61))&lt;0.5,"OK","不符")</f>
        <v/>
      </c>
      <c r="O65" s="8">
        <f>IF((ABS(O14)+ABS(O27)+ABS(O35)+ABS(O43)+ABS(O49)+ABS(O51)+ABS(O53)+ABS(O57)+ABS(O59)+ABS(O61))&lt;0.5,"OK","不符")</f>
        <v/>
      </c>
      <c r="P65" s="8">
        <f>IF((ABS(P14)+ABS(P27)+ABS(P35)+ABS(P43)+ABS(P49)+ABS(P51)+ABS(P53)+ABS(P57)+ABS(P59)+ABS(P61))&lt;0.5,"OK","不符")</f>
        <v/>
      </c>
      <c r="Q65" s="8">
        <f>IF((ABS(Q14)+ABS(Q27)+ABS(Q35)+ABS(Q43)+ABS(Q49)+ABS(Q51)+ABS(Q53)+ABS(Q57)+ABS(Q59)+ABS(Q61))&lt;0.5,"OK","不符")</f>
        <v/>
      </c>
      <c r="R65" s="8">
        <f>IF((ABS(R14)+ABS(R27)+ABS(R35)+ABS(R43)+ABS(R49)+ABS(R51)+ABS(R53)+ABS(R57)+ABS(R59)+ABS(R61))&lt;0.5,"OK","不符")</f>
        <v/>
      </c>
      <c r="S65" s="8">
        <f>IF((ABS(S14)+ABS(S27)+ABS(S35)+ABS(S43)+ABS(S49)+ABS(S51)+ABS(S53)+ABS(S57)+ABS(S59)+ABS(S61))&lt;0.5,"OK","不符")</f>
        <v/>
      </c>
      <c r="T65" s="8">
        <f>IF((ABS(T14)+ABS(T27)+ABS(T35)+ABS(T43)+ABS(T49)+ABS(T51)+ABS(T53)+ABS(T57)+ABS(T59)+ABS(T61))&lt;0.5,"OK","不符")</f>
        <v/>
      </c>
      <c r="U65" s="8">
        <f>IF((ABS(U14)+ABS(U27)+ABS(U35)+ABS(U43)+ABS(U49)+ABS(U51)+ABS(U53)+ABS(U57)+ABS(U59)+ABS(U61))&lt;0.5,"OK","不符")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8" customWidth="1" min="4" max="4"/>
    <col width="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期間</t>
        </is>
      </c>
      <c r="B1" s="12" t="inlineStr">
        <is>
          <t>工程代碼</t>
        </is>
      </c>
      <c r="C1" s="12" t="inlineStr">
        <is>
          <t>工程名稱</t>
        </is>
      </c>
      <c r="D1" s="12" t="inlineStr">
        <is>
          <t>A0 C欄</t>
        </is>
      </c>
      <c r="E1" s="12" t="inlineStr">
        <is>
          <t>分類</t>
        </is>
      </c>
      <c r="F1" s="12" t="inlineStr">
        <is>
          <t>在建工程(A0)</t>
        </is>
      </c>
      <c r="G1" s="12" t="inlineStr">
        <is>
          <t>在建損益(A0)</t>
        </is>
      </c>
      <c r="H1" s="12" t="inlineStr">
        <is>
          <t>收入Total(A0)</t>
        </is>
      </c>
      <c r="I1" s="12" t="inlineStr">
        <is>
          <t>負債準備(A0)</t>
        </is>
      </c>
      <c r="J1" s="12" t="inlineStr">
        <is>
          <t>預收開票(B0)</t>
        </is>
      </c>
    </row>
    <row r="2">
      <c r="A2" t="inlineStr">
        <is>
          <t>累計2026/8</t>
        </is>
      </c>
      <c r="B2" t="inlineStr">
        <is>
          <t>C/92103</t>
        </is>
      </c>
      <c r="C2" t="inlineStr">
        <is>
          <t>CQ840 BIM</t>
        </is>
      </c>
      <c r="D2" t="inlineStr">
        <is>
          <t>內部</t>
        </is>
      </c>
      <c r="E2" t="inlineStr">
        <is>
          <t>內案</t>
        </is>
      </c>
      <c r="F2" s="3" t="n">
        <v>768190</v>
      </c>
      <c r="G2" s="3" t="n">
        <v>779203</v>
      </c>
      <c r="H2" s="3" t="n">
        <v>1547393</v>
      </c>
      <c r="I2" s="3" t="n">
        <v>0</v>
      </c>
      <c r="J2" s="3" t="n">
        <v>1547393</v>
      </c>
    </row>
    <row r="3">
      <c r="A3" t="inlineStr">
        <is>
          <t>累計2026/8</t>
        </is>
      </c>
      <c r="B3" t="inlineStr">
        <is>
          <t>C/92202</t>
        </is>
      </c>
      <c r="C3" t="inlineStr">
        <is>
          <t>CF680C BIM</t>
        </is>
      </c>
      <c r="D3" t="inlineStr">
        <is>
          <t>內部</t>
        </is>
      </c>
      <c r="E3" t="inlineStr">
        <is>
          <t>內案</t>
        </is>
      </c>
      <c r="F3" s="3" t="n">
        <v>10035914</v>
      </c>
      <c r="G3" s="3" t="n">
        <v>6392086</v>
      </c>
      <c r="H3" s="3" t="n">
        <v>16428000</v>
      </c>
      <c r="I3" s="3" t="n">
        <v>0</v>
      </c>
      <c r="J3" s="3" t="n">
        <v>16428000</v>
      </c>
    </row>
    <row r="4">
      <c r="A4" t="inlineStr">
        <is>
          <t>累計2026/8</t>
        </is>
      </c>
      <c r="B4" t="inlineStr">
        <is>
          <t>C/92203</t>
        </is>
      </c>
      <c r="C4" t="inlineStr">
        <is>
          <t>N－WH BIM</t>
        </is>
      </c>
      <c r="D4" t="inlineStr">
        <is>
          <t>內部</t>
        </is>
      </c>
      <c r="E4" t="inlineStr">
        <is>
          <t>內案</t>
        </is>
      </c>
      <c r="F4" s="3" t="n">
        <v>4815841</v>
      </c>
      <c r="G4" s="3" t="n">
        <v>3155677</v>
      </c>
      <c r="H4" s="3" t="n">
        <v>7971518</v>
      </c>
      <c r="I4" s="3" t="n">
        <v>0</v>
      </c>
      <c r="J4" s="3" t="n">
        <v>7971518</v>
      </c>
    </row>
    <row r="5">
      <c r="A5" t="inlineStr">
        <is>
          <t>累計2026/8</t>
        </is>
      </c>
      <c r="B5" t="inlineStr">
        <is>
          <t>C/92204</t>
        </is>
      </c>
      <c r="C5" t="inlineStr">
        <is>
          <t>國揚吉林機電</t>
        </is>
      </c>
      <c r="D5" t="inlineStr">
        <is>
          <t>內部</t>
        </is>
      </c>
      <c r="E5" t="inlineStr">
        <is>
          <t>內案</t>
        </is>
      </c>
      <c r="F5" s="3" t="n">
        <v>1258917</v>
      </c>
      <c r="G5" s="3" t="n">
        <v>691083</v>
      </c>
      <c r="H5" s="3" t="n">
        <v>1950000</v>
      </c>
      <c r="I5" s="3" t="n">
        <v>0</v>
      </c>
      <c r="J5" s="3" t="n">
        <v>1950000</v>
      </c>
    </row>
    <row r="6">
      <c r="A6" t="inlineStr">
        <is>
          <t>累計2026/8</t>
        </is>
      </c>
      <c r="B6" t="inlineStr">
        <is>
          <t>C/92301</t>
        </is>
      </c>
      <c r="C6" t="inlineStr">
        <is>
          <t>CF670A BIM 土木機電</t>
        </is>
      </c>
      <c r="D6" t="inlineStr">
        <is>
          <t>內部</t>
        </is>
      </c>
      <c r="E6" t="inlineStr">
        <is>
          <t>內案</t>
        </is>
      </c>
      <c r="F6" s="3" t="n">
        <v>7934565</v>
      </c>
      <c r="G6" s="3" t="n">
        <v>3606435</v>
      </c>
      <c r="H6" s="3" t="n">
        <v>11541000</v>
      </c>
      <c r="I6" s="3" t="n">
        <v>0</v>
      </c>
      <c r="J6" s="3" t="n">
        <v>11541000</v>
      </c>
    </row>
    <row r="7">
      <c r="A7" t="inlineStr">
        <is>
          <t>累計2026/8</t>
        </is>
      </c>
      <c r="B7" t="inlineStr">
        <is>
          <t>C/92302</t>
        </is>
      </c>
      <c r="C7" t="inlineStr">
        <is>
          <t>富邦忠孝懷生BIM機電</t>
        </is>
      </c>
      <c r="D7" t="inlineStr">
        <is>
          <t>內部</t>
        </is>
      </c>
      <c r="E7" t="inlineStr">
        <is>
          <t>內案</t>
        </is>
      </c>
      <c r="F7" s="3" t="n">
        <v>2941939</v>
      </c>
      <c r="G7" s="3" t="n">
        <v>673061</v>
      </c>
      <c r="H7" s="3" t="n">
        <v>3615000</v>
      </c>
      <c r="I7" s="3" t="n">
        <v>0</v>
      </c>
      <c r="J7" s="3" t="n">
        <v>3615000</v>
      </c>
    </row>
    <row r="8">
      <c r="A8" t="inlineStr">
        <is>
          <t>累計2026/8</t>
        </is>
      </c>
      <c r="B8" t="inlineStr">
        <is>
          <t>C/92303</t>
        </is>
      </c>
      <c r="C8" t="inlineStr">
        <is>
          <t>信義兒福BIM機電</t>
        </is>
      </c>
      <c r="D8" t="inlineStr">
        <is>
          <t>外部</t>
        </is>
      </c>
      <c r="E8" t="inlineStr">
        <is>
          <t>外案</t>
        </is>
      </c>
      <c r="F8" s="3" t="n">
        <v>589788</v>
      </c>
      <c r="G8" s="3" t="n">
        <v>-589788</v>
      </c>
      <c r="H8" s="3" t="n">
        <v>0</v>
      </c>
      <c r="I8" s="3" t="n">
        <v>0</v>
      </c>
      <c r="J8" s="3" t="n">
        <v>0</v>
      </c>
    </row>
    <row r="9">
      <c r="A9" t="inlineStr">
        <is>
          <t>累計2026/8</t>
        </is>
      </c>
      <c r="B9" t="inlineStr">
        <is>
          <t>C/92304</t>
        </is>
      </c>
      <c r="C9" t="inlineStr">
        <is>
          <t>捷運劍潭站TOD統包BIM機電</t>
        </is>
      </c>
      <c r="D9" t="inlineStr">
        <is>
          <t>內部</t>
        </is>
      </c>
      <c r="E9" t="inlineStr">
        <is>
          <t>內案</t>
        </is>
      </c>
      <c r="F9" s="3" t="n">
        <v>4400912</v>
      </c>
      <c r="G9" s="3" t="n">
        <v>1064088</v>
      </c>
      <c r="H9" s="3" t="n">
        <v>5465000</v>
      </c>
      <c r="I9" s="3" t="n">
        <v>0</v>
      </c>
      <c r="J9" s="3" t="n">
        <v>5465000</v>
      </c>
    </row>
    <row r="10">
      <c r="A10" t="inlineStr">
        <is>
          <t>累計2026/8</t>
        </is>
      </c>
      <c r="B10" t="inlineStr">
        <is>
          <t>C/92401</t>
        </is>
      </c>
      <c r="C10" t="inlineStr">
        <is>
          <t>CJ17 土木機電</t>
        </is>
      </c>
      <c r="D10" t="inlineStr">
        <is>
          <t>內部</t>
        </is>
      </c>
      <c r="E10" t="inlineStr">
        <is>
          <t>內案</t>
        </is>
      </c>
      <c r="F10" s="3" t="n">
        <v>2185205</v>
      </c>
      <c r="G10" s="3" t="n">
        <v>4682795</v>
      </c>
      <c r="H10" s="3" t="n">
        <v>6868000</v>
      </c>
      <c r="I10" s="3" t="n">
        <v>0</v>
      </c>
      <c r="J10" s="3" t="n">
        <v>6868000</v>
      </c>
    </row>
    <row r="11">
      <c r="A11" t="inlineStr">
        <is>
          <t>累計2026/8</t>
        </is>
      </c>
      <c r="B11" t="inlineStr">
        <is>
          <t>C/92501</t>
        </is>
      </c>
      <c r="C11" t="inlineStr">
        <is>
          <t>CF670 BIM土木機電</t>
        </is>
      </c>
      <c r="D11" t="inlineStr">
        <is>
          <t>內部</t>
        </is>
      </c>
      <c r="E11" t="inlineStr">
        <is>
          <t>內案</t>
        </is>
      </c>
      <c r="F11" s="3" t="n">
        <v>2265868</v>
      </c>
      <c r="G11" s="3" t="n">
        <v>622882</v>
      </c>
      <c r="H11" s="3" t="n">
        <v>2888750</v>
      </c>
      <c r="I11" s="3" t="n">
        <v>0</v>
      </c>
      <c r="J11" s="3" t="n">
        <v>2888750</v>
      </c>
    </row>
    <row r="12">
      <c r="A12" t="inlineStr">
        <is>
          <t>累計2026/8</t>
        </is>
      </c>
      <c r="B12" t="inlineStr">
        <is>
          <t>C/92502</t>
        </is>
      </c>
      <c r="C12" t="inlineStr">
        <is>
          <t>擎邦-聯發科機電</t>
        </is>
      </c>
      <c r="D12" t="inlineStr">
        <is>
          <t>外部</t>
        </is>
      </c>
      <c r="E12" t="inlineStr">
        <is>
          <t>外案</t>
        </is>
      </c>
      <c r="F12" s="3" t="n">
        <v>1707641</v>
      </c>
      <c r="G12" s="3" t="n">
        <v>2292359</v>
      </c>
      <c r="H12" s="3" t="n">
        <v>4000000</v>
      </c>
      <c r="I12" s="3" t="n">
        <v>0</v>
      </c>
      <c r="J12" s="3" t="n">
        <v>4000000</v>
      </c>
    </row>
    <row r="13">
      <c r="A13" t="inlineStr">
        <is>
          <t>累計2026/8</t>
        </is>
      </c>
      <c r="B13" t="inlineStr">
        <is>
          <t>C/92503</t>
        </is>
      </c>
      <c r="C13" t="inlineStr">
        <is>
          <t>CF690B BIM土木</t>
        </is>
      </c>
      <c r="D13" t="inlineStr">
        <is>
          <t>外部</t>
        </is>
      </c>
      <c r="E13" t="inlineStr">
        <is>
          <t>外案</t>
        </is>
      </c>
      <c r="F13" s="3" t="n">
        <v>257849</v>
      </c>
      <c r="G13" s="3" t="n">
        <v>2022151</v>
      </c>
      <c r="H13" s="3" t="n">
        <v>2280000</v>
      </c>
      <c r="I13" s="3" t="n">
        <v>0</v>
      </c>
      <c r="J13" s="3" t="n">
        <v>2280000</v>
      </c>
    </row>
    <row r="14">
      <c r="A14" t="inlineStr">
        <is>
          <t>累計2026/8</t>
        </is>
      </c>
      <c r="B14" t="inlineStr">
        <is>
          <t>C/92504</t>
        </is>
      </c>
      <c r="C14" t="inlineStr">
        <is>
          <t>擎邦-員榮總醫院BIM</t>
        </is>
      </c>
      <c r="D14" t="inlineStr">
        <is>
          <t>外部</t>
        </is>
      </c>
      <c r="E14" t="inlineStr">
        <is>
          <t>外案</t>
        </is>
      </c>
      <c r="F14" s="3" t="n">
        <v>1931642</v>
      </c>
      <c r="G14" s="3" t="n">
        <v>324358</v>
      </c>
      <c r="H14" s="3" t="n">
        <v>2256000</v>
      </c>
      <c r="I14" s="3" t="n">
        <v>0</v>
      </c>
      <c r="J14" s="3" t="n">
        <v>2256000</v>
      </c>
    </row>
    <row r="15">
      <c r="A15" t="inlineStr">
        <is>
          <t>累計2026/8</t>
        </is>
      </c>
      <c r="B15" t="inlineStr">
        <is>
          <t>C/92601</t>
        </is>
      </c>
      <c r="C15" t="inlineStr">
        <is>
          <t>擎邦-聯發科銅鑼</t>
        </is>
      </c>
      <c r="D15" t="inlineStr">
        <is>
          <t>外部</t>
        </is>
      </c>
      <c r="E15" t="inlineStr">
        <is>
          <t>外案</t>
        </is>
      </c>
      <c r="F15" s="3" t="n">
        <v>176468</v>
      </c>
      <c r="G15" s="3" t="n">
        <v>-176468</v>
      </c>
      <c r="H15" s="3" t="n">
        <v>0</v>
      </c>
      <c r="I15" s="3" t="n">
        <v>0</v>
      </c>
      <c r="J15" s="3" t="n">
        <v>0</v>
      </c>
    </row>
    <row r="16">
      <c r="A16" t="inlineStr">
        <is>
          <t>累計2026/8</t>
        </is>
      </c>
      <c r="B16" t="inlineStr">
        <is>
          <t>C/92602</t>
        </is>
      </c>
      <c r="C16" t="inlineStr">
        <is>
          <t>擎邦-CF624F機電(CF690B機電)</t>
        </is>
      </c>
      <c r="D16" t="inlineStr">
        <is>
          <t>外部</t>
        </is>
      </c>
      <c r="E16" t="inlineStr">
        <is>
          <t>外案</t>
        </is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t="inlineStr">
        <is>
          <t>累計2026/8</t>
        </is>
      </c>
      <c r="B17" t="inlineStr">
        <is>
          <t>C/92603</t>
        </is>
      </c>
      <c r="C17" t="inlineStr">
        <is>
          <t>中華郵政信維機電</t>
        </is>
      </c>
      <c r="D17" t="inlineStr">
        <is>
          <t>內部</t>
        </is>
      </c>
      <c r="E17" t="inlineStr">
        <is>
          <t>內案</t>
        </is>
      </c>
      <c r="F17" s="3" t="n">
        <v>14921</v>
      </c>
      <c r="G17" s="3" t="n">
        <v>-14921</v>
      </c>
      <c r="H17" s="3" t="n">
        <v>0</v>
      </c>
      <c r="I17" s="3" t="n">
        <v>0</v>
      </c>
      <c r="J17" s="3" t="n">
        <v>0</v>
      </c>
    </row>
    <row r="18">
      <c r="A18" t="inlineStr">
        <is>
          <t>累計2026/8</t>
        </is>
      </c>
      <c r="B18" t="inlineStr">
        <is>
          <t>C/91001_26</t>
        </is>
      </c>
      <c r="C18" t="inlineStr">
        <is>
          <t>新取得BIM土木機電-26年</t>
        </is>
      </c>
      <c r="D18" t="inlineStr">
        <is>
          <t>內部</t>
        </is>
      </c>
      <c r="E18" t="inlineStr">
        <is>
          <t>內案</t>
        </is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t="inlineStr">
        <is>
          <t>累計2026/8</t>
        </is>
      </c>
      <c r="B19" t="inlineStr">
        <is>
          <t>C/91000_27</t>
        </is>
      </c>
      <c r="C19" t="inlineStr">
        <is>
          <t>新取得BIM土木機電-26年</t>
        </is>
      </c>
      <c r="D19" t="inlineStr">
        <is>
          <t>內部</t>
        </is>
      </c>
      <c r="E19" t="inlineStr">
        <is>
          <t>內案</t>
        </is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t="inlineStr">
        <is>
          <t>累計2026/8</t>
        </is>
      </c>
      <c r="B20" t="inlineStr">
        <is>
          <t>C/91001_27</t>
        </is>
      </c>
      <c r="C20" t="inlineStr">
        <is>
          <t>新取得BIM土木機電-27年</t>
        </is>
      </c>
      <c r="D20" t="inlineStr">
        <is>
          <t>內部</t>
        </is>
      </c>
      <c r="E20" t="inlineStr">
        <is>
          <t>內案</t>
        </is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t="inlineStr">
        <is>
          <t>累計2026/8</t>
        </is>
      </c>
      <c r="B21" t="inlineStr">
        <is>
          <t>C/91002_27</t>
        </is>
      </c>
      <c r="C21" t="inlineStr">
        <is>
          <t>新取得BIM土木機電-28年</t>
        </is>
      </c>
      <c r="D21" t="inlineStr">
        <is>
          <t>內部</t>
        </is>
      </c>
      <c r="E21" t="inlineStr">
        <is>
          <t>內案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t="inlineStr">
        <is>
          <t>累計2026/8</t>
        </is>
      </c>
      <c r="B22" t="inlineStr">
        <is>
          <t>C/91003_27</t>
        </is>
      </c>
      <c r="C22" t="inlineStr">
        <is>
          <t>新取得BIM土木機電-29年</t>
        </is>
      </c>
      <c r="D22" t="inlineStr">
        <is>
          <t>內部</t>
        </is>
      </c>
      <c r="E22" t="inlineStr">
        <is>
          <t>內案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t="inlineStr">
        <is>
          <t>累計2026/8</t>
        </is>
      </c>
      <c r="B23" t="inlineStr">
        <is>
          <t>C/91004_27</t>
        </is>
      </c>
      <c r="C23" t="inlineStr">
        <is>
          <t>新取得BIM土木機電-30年</t>
        </is>
      </c>
      <c r="D23" t="inlineStr">
        <is>
          <t>內部</t>
        </is>
      </c>
      <c r="E23" t="inlineStr">
        <is>
          <t>內案</t>
        </is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t="inlineStr">
        <is>
          <t>累計2026/8</t>
        </is>
      </c>
      <c r="B24" t="inlineStr">
        <is>
          <t>C/91005_27</t>
        </is>
      </c>
      <c r="C24" t="inlineStr">
        <is>
          <t>新取得BIM土木機電-31年</t>
        </is>
      </c>
      <c r="D24" t="inlineStr">
        <is>
          <t>內部</t>
        </is>
      </c>
      <c r="E24" t="inlineStr">
        <is>
          <t>內案</t>
        </is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t="inlineStr">
        <is>
          <t>累計2026/8</t>
        </is>
      </c>
      <c r="B25" t="inlineStr">
        <is>
          <t>C/9210F</t>
        </is>
      </c>
      <c r="C25" t="inlineStr">
        <is>
          <t>南港機廠BIM建築</t>
        </is>
      </c>
      <c r="D25" t="inlineStr">
        <is>
          <t>外部</t>
        </is>
      </c>
      <c r="E25" t="inlineStr">
        <is>
          <t>外案</t>
        </is>
      </c>
      <c r="F25" s="3" t="n">
        <v>7070420</v>
      </c>
      <c r="G25" s="3" t="n">
        <v>4041580</v>
      </c>
      <c r="H25" s="3" t="n">
        <v>11112000</v>
      </c>
      <c r="I25" s="3" t="n">
        <v>0</v>
      </c>
      <c r="J25" s="3" t="n">
        <v>11112000</v>
      </c>
    </row>
    <row r="26">
      <c r="A26" t="inlineStr">
        <is>
          <t>累計2026/8</t>
        </is>
      </c>
      <c r="B26" t="inlineStr">
        <is>
          <t>C/9210G</t>
        </is>
      </c>
      <c r="C26" t="inlineStr">
        <is>
          <t>富邦忠孝懷生BIM建築</t>
        </is>
      </c>
      <c r="D26" t="inlineStr">
        <is>
          <t>內部</t>
        </is>
      </c>
      <c r="E26" t="inlineStr">
        <is>
          <t>內案</t>
        </is>
      </c>
      <c r="F26" s="3" t="n">
        <v>7953513</v>
      </c>
      <c r="G26" s="3" t="n">
        <v>-468513</v>
      </c>
      <c r="H26" s="3" t="n">
        <v>7485000</v>
      </c>
      <c r="I26" s="3" t="n">
        <v>0</v>
      </c>
      <c r="J26" s="3" t="n">
        <v>7485000</v>
      </c>
    </row>
    <row r="27">
      <c r="A27" t="inlineStr">
        <is>
          <t>累計2026/8</t>
        </is>
      </c>
      <c r="B27" t="inlineStr">
        <is>
          <t>C/9220E</t>
        </is>
      </c>
      <c r="C27" t="inlineStr">
        <is>
          <t>柏鴻北士科 C/9100A-22A</t>
        </is>
      </c>
      <c r="D27" t="inlineStr">
        <is>
          <t>內部</t>
        </is>
      </c>
      <c r="E27" t="inlineStr">
        <is>
          <t>內案</t>
        </is>
      </c>
      <c r="F27" s="3" t="n">
        <v>2111327</v>
      </c>
      <c r="G27" s="3" t="n">
        <v>1808673</v>
      </c>
      <c r="H27" s="3" t="n">
        <v>3920000</v>
      </c>
      <c r="I27" s="3" t="n">
        <v>0</v>
      </c>
      <c r="J27" s="3" t="n">
        <v>3920000</v>
      </c>
    </row>
    <row r="28">
      <c r="A28" t="inlineStr">
        <is>
          <t>累計2026/8</t>
        </is>
      </c>
      <c r="B28" t="inlineStr">
        <is>
          <t>C/9230A</t>
        </is>
      </c>
      <c r="C28" t="inlineStr">
        <is>
          <t>信義兒福BIM建築</t>
        </is>
      </c>
      <c r="D28" t="inlineStr">
        <is>
          <t>外部</t>
        </is>
      </c>
      <c r="E28" t="inlineStr">
        <is>
          <t>外案</t>
        </is>
      </c>
      <c r="F28" s="3" t="n">
        <v>373088</v>
      </c>
      <c r="G28" s="3" t="n">
        <v>494412</v>
      </c>
      <c r="H28" s="3" t="n">
        <v>867500</v>
      </c>
      <c r="I28" s="3" t="n">
        <v>0</v>
      </c>
      <c r="J28" s="3" t="n">
        <v>867500</v>
      </c>
    </row>
    <row r="29">
      <c r="A29" t="inlineStr">
        <is>
          <t>累計2026/8</t>
        </is>
      </c>
      <c r="B29" t="inlineStr">
        <is>
          <t>C/9230B</t>
        </is>
      </c>
      <c r="C29" t="inlineStr">
        <is>
          <t>北捷劍潭TOD</t>
        </is>
      </c>
      <c r="D29" t="inlineStr">
        <is>
          <t>內部</t>
        </is>
      </c>
      <c r="E29" t="inlineStr">
        <is>
          <t>內案</t>
        </is>
      </c>
      <c r="F29" s="3" t="n">
        <v>8536116</v>
      </c>
      <c r="G29" s="3" t="n">
        <v>5653884</v>
      </c>
      <c r="H29" s="3" t="n">
        <v>14190000</v>
      </c>
      <c r="I29" s="3" t="n">
        <v>0</v>
      </c>
      <c r="J29" s="3" t="n">
        <v>14190000</v>
      </c>
    </row>
    <row r="30">
      <c r="A30" t="inlineStr">
        <is>
          <t>累計2026/8</t>
        </is>
      </c>
      <c r="B30" t="inlineStr">
        <is>
          <t>C/9230C</t>
        </is>
      </c>
      <c r="C30" t="inlineStr">
        <is>
          <t>慶城福華-23年</t>
        </is>
      </c>
      <c r="D30" t="inlineStr">
        <is>
          <t>內部</t>
        </is>
      </c>
      <c r="E30" t="inlineStr">
        <is>
          <t>內案</t>
        </is>
      </c>
      <c r="F30" s="3" t="n">
        <v>2589656</v>
      </c>
      <c r="G30" s="3" t="n">
        <v>1780344</v>
      </c>
      <c r="H30" s="3" t="n">
        <v>4370000</v>
      </c>
      <c r="I30" s="3" t="n">
        <v>0</v>
      </c>
      <c r="J30" s="3" t="n">
        <v>4370000</v>
      </c>
    </row>
    <row r="31">
      <c r="A31" t="inlineStr">
        <is>
          <t>累計2026/8</t>
        </is>
      </c>
      <c r="B31" t="inlineStr">
        <is>
          <t>C/9240A</t>
        </is>
      </c>
      <c r="C31" t="inlineStr">
        <is>
          <t>南港國際一</t>
        </is>
      </c>
      <c r="D31" t="inlineStr">
        <is>
          <t>內部</t>
        </is>
      </c>
      <c r="E31" t="inlineStr">
        <is>
          <t>內案</t>
        </is>
      </c>
      <c r="F31" s="3" t="n">
        <v>13987909</v>
      </c>
      <c r="G31" s="3" t="n">
        <v>14957091</v>
      </c>
      <c r="H31" s="3" t="n">
        <v>28945000</v>
      </c>
      <c r="I31" s="3" t="n">
        <v>0</v>
      </c>
      <c r="J31" s="3" t="n">
        <v>28945000</v>
      </c>
    </row>
    <row r="32">
      <c r="A32" t="inlineStr">
        <is>
          <t>累計2026/8</t>
        </is>
      </c>
      <c r="B32" t="inlineStr">
        <is>
          <t>C/9240B</t>
        </is>
      </c>
      <c r="C32" t="inlineStr">
        <is>
          <t xml:space="preserve">台中洲際BIM建築 </t>
        </is>
      </c>
      <c r="D32" t="inlineStr">
        <is>
          <t>內部</t>
        </is>
      </c>
      <c r="E32" t="inlineStr">
        <is>
          <t>內案</t>
        </is>
      </c>
      <c r="F32" s="3" t="n">
        <v>1681852</v>
      </c>
      <c r="G32" s="3" t="n">
        <v>518148</v>
      </c>
      <c r="H32" s="3" t="n">
        <v>2200000</v>
      </c>
      <c r="I32" s="3" t="n">
        <v>0</v>
      </c>
      <c r="J32" s="3" t="n">
        <v>2200000</v>
      </c>
    </row>
    <row r="33">
      <c r="A33" t="inlineStr">
        <is>
          <t>累計2026/8</t>
        </is>
      </c>
      <c r="B33" t="inlineStr">
        <is>
          <t>C/9240C</t>
        </is>
      </c>
      <c r="C33" t="inlineStr">
        <is>
          <t xml:space="preserve">大直金泰BIM建築 </t>
        </is>
      </c>
      <c r="D33" t="inlineStr">
        <is>
          <t>內部</t>
        </is>
      </c>
      <c r="E33" t="inlineStr">
        <is>
          <t>內案</t>
        </is>
      </c>
      <c r="F33" s="3" t="n">
        <v>2067951</v>
      </c>
      <c r="G33" s="3" t="n">
        <v>907049</v>
      </c>
      <c r="H33" s="3" t="n">
        <v>2975000</v>
      </c>
      <c r="I33" s="3" t="n">
        <v>0</v>
      </c>
      <c r="J33" s="3" t="n">
        <v>2975000</v>
      </c>
    </row>
    <row r="34">
      <c r="A34" t="inlineStr">
        <is>
          <t>累計2026/8</t>
        </is>
      </c>
      <c r="B34" t="inlineStr">
        <is>
          <t>C/9240D</t>
        </is>
      </c>
      <c r="C34" t="inlineStr">
        <is>
          <t xml:space="preserve">板橋新雅BIM建築 </t>
        </is>
      </c>
      <c r="D34" t="inlineStr">
        <is>
          <t>內部</t>
        </is>
      </c>
      <c r="E34" t="inlineStr">
        <is>
          <t>內案</t>
        </is>
      </c>
      <c r="F34" s="3" t="n">
        <v>881007</v>
      </c>
      <c r="G34" s="3" t="n">
        <v>1095993</v>
      </c>
      <c r="H34" s="3" t="n">
        <v>1977000</v>
      </c>
      <c r="I34" s="3" t="n">
        <v>0</v>
      </c>
      <c r="J34" s="3" t="n">
        <v>1977000</v>
      </c>
    </row>
    <row r="35">
      <c r="A35" t="inlineStr">
        <is>
          <t>累計2026/8</t>
        </is>
      </c>
      <c r="B35" t="inlineStr">
        <is>
          <t>C/9240E</t>
        </is>
      </c>
      <c r="C35" t="inlineStr">
        <is>
          <t xml:space="preserve">板橋四維BIM建築 </t>
        </is>
      </c>
      <c r="D35" t="inlineStr">
        <is>
          <t>內部</t>
        </is>
      </c>
      <c r="E35" t="inlineStr">
        <is>
          <t>內案</t>
        </is>
      </c>
      <c r="F35" s="3" t="n">
        <v>1089400</v>
      </c>
      <c r="G35" s="3" t="n">
        <v>467600</v>
      </c>
      <c r="H35" s="3" t="n">
        <v>1557000</v>
      </c>
      <c r="I35" s="3" t="n">
        <v>0</v>
      </c>
      <c r="J35" s="3" t="n">
        <v>1557000</v>
      </c>
    </row>
    <row r="36">
      <c r="A36" t="inlineStr">
        <is>
          <t>累計2026/8</t>
        </is>
      </c>
      <c r="B36" t="inlineStr">
        <is>
          <t>C/9240F</t>
        </is>
      </c>
      <c r="C36" t="inlineStr">
        <is>
          <t>台中新美齊</t>
        </is>
      </c>
      <c r="D36" t="inlineStr">
        <is>
          <t>內部</t>
        </is>
      </c>
      <c r="E36" t="inlineStr">
        <is>
          <t>內案</t>
        </is>
      </c>
      <c r="F36" s="3" t="n">
        <v>1653385</v>
      </c>
      <c r="G36" s="3" t="n">
        <v>1586615</v>
      </c>
      <c r="H36" s="3" t="n">
        <v>3240000</v>
      </c>
      <c r="I36" s="3" t="n">
        <v>0</v>
      </c>
      <c r="J36" s="3" t="n">
        <v>3240000</v>
      </c>
    </row>
    <row r="37">
      <c r="A37" t="inlineStr">
        <is>
          <t>累計2026/8</t>
        </is>
      </c>
      <c r="B37" t="inlineStr">
        <is>
          <t>C/9240G</t>
        </is>
      </c>
      <c r="C37" t="inlineStr">
        <is>
          <t>晨禎片片山閑</t>
        </is>
      </c>
      <c r="D37" t="inlineStr">
        <is>
          <t>外部</t>
        </is>
      </c>
      <c r="E37" t="inlineStr">
        <is>
          <t>外案</t>
        </is>
      </c>
      <c r="F37" s="3" t="n">
        <v>1250140</v>
      </c>
      <c r="G37" s="3" t="n">
        <v>1797480</v>
      </c>
      <c r="H37" s="3" t="n">
        <v>3047620</v>
      </c>
      <c r="I37" s="3" t="n">
        <v>0</v>
      </c>
      <c r="J37" s="3" t="n">
        <v>3047620</v>
      </c>
    </row>
    <row r="38">
      <c r="A38" t="inlineStr">
        <is>
          <t>累計2026/8</t>
        </is>
      </c>
      <c r="B38" t="inlineStr">
        <is>
          <t>C/9250A</t>
        </is>
      </c>
      <c r="C38" t="inlineStr">
        <is>
          <t>南機二區BIM服務</t>
        </is>
      </c>
      <c r="D38" t="inlineStr">
        <is>
          <t>內部</t>
        </is>
      </c>
      <c r="E38" t="inlineStr">
        <is>
          <t>內案</t>
        </is>
      </c>
      <c r="F38" s="3" t="n">
        <v>7054154</v>
      </c>
      <c r="G38" s="3" t="n">
        <v>2720596</v>
      </c>
      <c r="H38" s="3" t="n">
        <v>9774750</v>
      </c>
      <c r="I38" s="3" t="n">
        <v>0</v>
      </c>
      <c r="J38" s="3" t="n">
        <v>9774750</v>
      </c>
    </row>
    <row r="39">
      <c r="A39" t="inlineStr">
        <is>
          <t>累計2026/8</t>
        </is>
      </c>
      <c r="B39" t="inlineStr">
        <is>
          <t>C/9250B</t>
        </is>
      </c>
      <c r="C39" t="inlineStr">
        <is>
          <t>璞真南港總部</t>
        </is>
      </c>
      <c r="D39" t="inlineStr">
        <is>
          <t>內部</t>
        </is>
      </c>
      <c r="E39" t="inlineStr">
        <is>
          <t>內案</t>
        </is>
      </c>
      <c r="F39" s="3" t="n">
        <v>944109</v>
      </c>
      <c r="G39" s="3" t="n">
        <v>835891</v>
      </c>
      <c r="H39" s="3" t="n">
        <v>1780000</v>
      </c>
      <c r="I39" s="3" t="n">
        <v>0</v>
      </c>
      <c r="J39" s="3" t="n">
        <v>1780000</v>
      </c>
    </row>
    <row r="40">
      <c r="A40" t="inlineStr">
        <is>
          <t>累計2026/8</t>
        </is>
      </c>
      <c r="B40" t="inlineStr">
        <is>
          <t>C/9250C</t>
        </is>
      </c>
      <c r="C40" t="inlineStr">
        <is>
          <t>築源南港</t>
        </is>
      </c>
      <c r="D40" t="inlineStr">
        <is>
          <t>內部</t>
        </is>
      </c>
      <c r="E40" t="inlineStr">
        <is>
          <t>內案</t>
        </is>
      </c>
      <c r="F40" s="3" t="n">
        <v>1171182</v>
      </c>
      <c r="G40" s="3" t="n">
        <v>868818</v>
      </c>
      <c r="H40" s="3" t="n">
        <v>2040000</v>
      </c>
      <c r="I40" s="3" t="n">
        <v>0</v>
      </c>
      <c r="J40" s="3" t="n">
        <v>2040000</v>
      </c>
    </row>
    <row r="41">
      <c r="A41" t="inlineStr">
        <is>
          <t>累計2026/8</t>
        </is>
      </c>
      <c r="B41" t="inlineStr">
        <is>
          <t>C/9250D</t>
        </is>
      </c>
      <c r="C41" t="inlineStr">
        <is>
          <t>南港三重</t>
        </is>
      </c>
      <c r="D41" t="inlineStr">
        <is>
          <t>內部</t>
        </is>
      </c>
      <c r="E41" t="inlineStr">
        <is>
          <t>內案</t>
        </is>
      </c>
      <c r="F41" s="3" t="n">
        <v>798510</v>
      </c>
      <c r="G41" s="3" t="n">
        <v>596490</v>
      </c>
      <c r="H41" s="3" t="n">
        <v>1395000</v>
      </c>
      <c r="I41" s="3" t="n">
        <v>0</v>
      </c>
      <c r="J41" s="3" t="n">
        <v>1395000</v>
      </c>
    </row>
    <row r="42">
      <c r="A42" t="inlineStr">
        <is>
          <t>累計2026/8</t>
        </is>
      </c>
      <c r="B42" t="inlineStr">
        <is>
          <t>C/9260A</t>
        </is>
      </c>
      <c r="C42" t="inlineStr">
        <is>
          <t>台中楓溪</t>
        </is>
      </c>
      <c r="D42" t="inlineStr">
        <is>
          <t>內部</t>
        </is>
      </c>
      <c r="E42" t="inlineStr">
        <is>
          <t>內案</t>
        </is>
      </c>
      <c r="F42" s="3" t="n">
        <v>348603</v>
      </c>
      <c r="G42" s="3" t="n">
        <v>185397</v>
      </c>
      <c r="H42" s="3" t="n">
        <v>534000</v>
      </c>
      <c r="I42" s="3" t="n">
        <v>0</v>
      </c>
      <c r="J42" s="3" t="n">
        <v>534000</v>
      </c>
    </row>
    <row r="43">
      <c r="A43" t="inlineStr">
        <is>
          <t>累計2026/8</t>
        </is>
      </c>
      <c r="B43" t="inlineStr">
        <is>
          <t>C/9260B</t>
        </is>
      </c>
      <c r="C43" t="inlineStr">
        <is>
          <t>樺輝永鑄</t>
        </is>
      </c>
      <c r="D43" t="inlineStr">
        <is>
          <t>內部</t>
        </is>
      </c>
      <c r="E43" t="inlineStr">
        <is>
          <t>內案</t>
        </is>
      </c>
      <c r="F43" s="3" t="n">
        <v>297617</v>
      </c>
      <c r="G43" s="3" t="n">
        <v>-137617</v>
      </c>
      <c r="H43" s="3" t="n">
        <v>160000</v>
      </c>
      <c r="I43" s="3" t="n">
        <v>0</v>
      </c>
      <c r="J43" s="3" t="n">
        <v>160000</v>
      </c>
    </row>
    <row r="44">
      <c r="A44" t="inlineStr">
        <is>
          <t>累計2026/8</t>
        </is>
      </c>
      <c r="B44" t="inlineStr">
        <is>
          <t>C/9260C</t>
        </is>
      </c>
      <c r="C44" t="inlineStr">
        <is>
          <t>中華郵政信維</t>
        </is>
      </c>
      <c r="D44" t="inlineStr">
        <is>
          <t>內部</t>
        </is>
      </c>
      <c r="E44" t="inlineStr">
        <is>
          <t>內案</t>
        </is>
      </c>
      <c r="F44" s="3" t="n">
        <v>435393</v>
      </c>
      <c r="G44" s="3" t="n">
        <v>-435393</v>
      </c>
      <c r="H44" s="3" t="n">
        <v>0</v>
      </c>
      <c r="I44" s="3" t="n">
        <v>0</v>
      </c>
      <c r="J44" s="3" t="n">
        <v>0</v>
      </c>
    </row>
    <row r="45">
      <c r="A45" t="inlineStr">
        <is>
          <t>累計2026/8</t>
        </is>
      </c>
      <c r="B45" t="inlineStr">
        <is>
          <t>C/9260D</t>
        </is>
      </c>
      <c r="C45" t="inlineStr">
        <is>
          <t>大安復興</t>
        </is>
      </c>
      <c r="D45" t="inlineStr">
        <is>
          <t>內部</t>
        </is>
      </c>
      <c r="E45" t="inlineStr">
        <is>
          <t>內案</t>
        </is>
      </c>
      <c r="F45" s="3" t="n">
        <v>80974</v>
      </c>
      <c r="G45" s="3" t="n">
        <v>-80974</v>
      </c>
      <c r="H45" s="3" t="n">
        <v>0</v>
      </c>
      <c r="I45" s="3" t="n">
        <v>0</v>
      </c>
      <c r="J45" s="3" t="n">
        <v>0</v>
      </c>
    </row>
    <row r="46">
      <c r="A46" t="inlineStr">
        <is>
          <t>累計2026/8</t>
        </is>
      </c>
      <c r="B46" t="inlineStr">
        <is>
          <t>C/9100B_26</t>
        </is>
      </c>
      <c r="C46" t="inlineStr">
        <is>
          <t>新取得BIM建築-26年</t>
        </is>
      </c>
      <c r="D46" t="inlineStr">
        <is>
          <t>內部</t>
        </is>
      </c>
      <c r="E46" t="inlineStr">
        <is>
          <t>內案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t="inlineStr">
        <is>
          <t>累計2026/8</t>
        </is>
      </c>
      <c r="B47" t="inlineStr">
        <is>
          <t>C/9100A_27</t>
        </is>
      </c>
      <c r="C47" t="inlineStr">
        <is>
          <t>新取得BIM建築-26年</t>
        </is>
      </c>
      <c r="D47" t="inlineStr">
        <is>
          <t>內部</t>
        </is>
      </c>
      <c r="E47" t="inlineStr">
        <is>
          <t>內案</t>
        </is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t="inlineStr">
        <is>
          <t>累計2026/8</t>
        </is>
      </c>
      <c r="B48" t="inlineStr">
        <is>
          <t>C/9100B_27</t>
        </is>
      </c>
      <c r="C48" t="inlineStr">
        <is>
          <t>新取得BIM建築-27年</t>
        </is>
      </c>
      <c r="D48" t="inlineStr">
        <is>
          <t>內部</t>
        </is>
      </c>
      <c r="E48" t="inlineStr">
        <is>
          <t>內案</t>
        </is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t="inlineStr">
        <is>
          <t>累計2026/8</t>
        </is>
      </c>
      <c r="B49" t="inlineStr">
        <is>
          <t>C/9100C_27</t>
        </is>
      </c>
      <c r="C49" t="inlineStr">
        <is>
          <t>新取得BIM建築-28年</t>
        </is>
      </c>
      <c r="D49" t="inlineStr">
        <is>
          <t>內部</t>
        </is>
      </c>
      <c r="E49" t="inlineStr">
        <is>
          <t>內案</t>
        </is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</row>
    <row r="50">
      <c r="A50" t="inlineStr">
        <is>
          <t>累計2026/8</t>
        </is>
      </c>
      <c r="B50" t="inlineStr">
        <is>
          <t>C/9100D_27</t>
        </is>
      </c>
      <c r="C50" t="inlineStr">
        <is>
          <t>新取得BIM建築-29年</t>
        </is>
      </c>
      <c r="D50" t="inlineStr">
        <is>
          <t>內部</t>
        </is>
      </c>
      <c r="E50" t="inlineStr">
        <is>
          <t>內案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t="inlineStr">
        <is>
          <t>累計2026/8</t>
        </is>
      </c>
      <c r="B51" t="inlineStr">
        <is>
          <t>C/9100E_27</t>
        </is>
      </c>
      <c r="C51" t="inlineStr">
        <is>
          <t>新取得BIM建築-30年</t>
        </is>
      </c>
      <c r="D51" t="inlineStr">
        <is>
          <t>內部</t>
        </is>
      </c>
      <c r="E51" t="inlineStr">
        <is>
          <t>內案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t="inlineStr">
        <is>
          <t>累計2026/8</t>
        </is>
      </c>
      <c r="B52" t="inlineStr">
        <is>
          <t>C/9100F_27</t>
        </is>
      </c>
      <c r="C52" t="inlineStr">
        <is>
          <t>新取得BIM建築-31年</t>
        </is>
      </c>
      <c r="D52" t="inlineStr">
        <is>
          <t>內部</t>
        </is>
      </c>
      <c r="E52" t="inlineStr">
        <is>
          <t>內案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t="inlineStr">
        <is>
          <t>累計2026/8</t>
        </is>
      </c>
      <c r="B53" t="inlineStr">
        <is>
          <t>C/99992</t>
        </is>
      </c>
      <c r="C53" t="inlineStr">
        <is>
          <t>雜項BIM土木機電</t>
        </is>
      </c>
      <c r="D53" t="inlineStr">
        <is>
          <t>內/無</t>
        </is>
      </c>
      <c r="E53" t="inlineStr">
        <is>
          <t>雜項</t>
        </is>
      </c>
      <c r="F53" s="3" t="n">
        <v>672383</v>
      </c>
      <c r="G53" s="3" t="n">
        <v>-672383</v>
      </c>
      <c r="H53" s="3" t="n">
        <v>0</v>
      </c>
      <c r="I53" s="3" t="n">
        <v>0</v>
      </c>
      <c r="J53" s="3" t="n">
        <v>1016700</v>
      </c>
    </row>
    <row r="54">
      <c r="A54" t="inlineStr">
        <is>
          <t>累計2026/8</t>
        </is>
      </c>
      <c r="B54" t="inlineStr">
        <is>
          <t>C/99992-1</t>
        </is>
      </c>
      <c r="C54" t="inlineStr">
        <is>
          <t>雜項BIM土木機電(外案收入)</t>
        </is>
      </c>
      <c r="D54" t="inlineStr">
        <is>
          <t>外部</t>
        </is>
      </c>
      <c r="E54" t="inlineStr">
        <is>
          <t>外案</t>
        </is>
      </c>
      <c r="F54" s="3" t="n">
        <v>39200</v>
      </c>
      <c r="G54" s="3" t="n">
        <v>13300</v>
      </c>
      <c r="H54" s="3" t="n">
        <v>52500</v>
      </c>
      <c r="I54" s="3" t="n">
        <v>0</v>
      </c>
      <c r="J54" s="3" t="n">
        <v>267500</v>
      </c>
    </row>
    <row r="55">
      <c r="A55" t="inlineStr">
        <is>
          <t>累計2026/8</t>
        </is>
      </c>
      <c r="B55" t="inlineStr">
        <is>
          <t>C/99993</t>
        </is>
      </c>
      <c r="C55" t="inlineStr">
        <is>
          <t>備標BIM土木機電</t>
        </is>
      </c>
      <c r="D55" t="inlineStr">
        <is>
          <t>備標</t>
        </is>
      </c>
      <c r="E55" t="inlineStr">
        <is>
          <t>備標</t>
        </is>
      </c>
      <c r="F55" s="3" t="n">
        <v>367169</v>
      </c>
      <c r="G55" s="3" t="n">
        <v>-367169</v>
      </c>
      <c r="H55" s="3" t="n">
        <v>0</v>
      </c>
      <c r="I55" s="3" t="n">
        <v>0</v>
      </c>
      <c r="J55" s="3" t="n">
        <v>3990100</v>
      </c>
    </row>
    <row r="56">
      <c r="A56" t="inlineStr">
        <is>
          <t>累計2026/8</t>
        </is>
      </c>
      <c r="B56" t="inlineStr">
        <is>
          <t>C/9999B</t>
        </is>
      </c>
      <c r="C56" t="inlineStr">
        <is>
          <t>雜項BIM建築</t>
        </is>
      </c>
      <c r="D56" t="inlineStr">
        <is>
          <t>內/無</t>
        </is>
      </c>
      <c r="E56" t="inlineStr">
        <is>
          <t>雜項</t>
        </is>
      </c>
      <c r="F56" s="3" t="n">
        <v>365186</v>
      </c>
      <c r="G56" s="3" t="n">
        <v>-365186</v>
      </c>
      <c r="H56" s="3" t="n">
        <v>0</v>
      </c>
      <c r="I56" s="3" t="n">
        <v>0</v>
      </c>
      <c r="J56" s="3" t="n">
        <v>1630000</v>
      </c>
    </row>
    <row r="57">
      <c r="A57" t="inlineStr">
        <is>
          <t>累計2026/8</t>
        </is>
      </c>
      <c r="B57" t="inlineStr">
        <is>
          <t>C/9999D</t>
        </is>
      </c>
      <c r="C57" t="inlineStr">
        <is>
          <t>備標BIM建築</t>
        </is>
      </c>
      <c r="D57" t="inlineStr">
        <is>
          <t>備標</t>
        </is>
      </c>
      <c r="E57" t="inlineStr">
        <is>
          <t>備標</t>
        </is>
      </c>
      <c r="F57" s="3" t="n">
        <v>921123</v>
      </c>
      <c r="G57" s="3" t="n">
        <v>-761123</v>
      </c>
      <c r="H57" s="3" t="n">
        <v>160000</v>
      </c>
      <c r="I57" s="3" t="n">
        <v>0</v>
      </c>
      <c r="J57" s="3" t="n">
        <v>880000</v>
      </c>
    </row>
    <row r="58">
      <c r="A58" t="inlineStr">
        <is>
          <t>2026/09 ~ 2026/12</t>
        </is>
      </c>
      <c r="B58" t="inlineStr">
        <is>
          <t>C/92103</t>
        </is>
      </c>
      <c r="C58" t="inlineStr">
        <is>
          <t>CQ840 BIM</t>
        </is>
      </c>
      <c r="D58" t="inlineStr">
        <is>
          <t>內部</t>
        </is>
      </c>
      <c r="E58" t="inlineStr">
        <is>
          <t>內案</t>
        </is>
      </c>
      <c r="F58" s="3" t="n">
        <v>10956</v>
      </c>
      <c r="G58" s="3" t="n">
        <v>-911673</v>
      </c>
      <c r="H58" s="3" t="n">
        <v>-900717</v>
      </c>
      <c r="I58" s="3" t="n">
        <v>-201922</v>
      </c>
      <c r="J58" s="3" t="n">
        <v>85000</v>
      </c>
    </row>
    <row r="59">
      <c r="A59" t="inlineStr">
        <is>
          <t>2026/09 ~ 2026/12</t>
        </is>
      </c>
      <c r="B59" t="inlineStr">
        <is>
          <t>C/92202</t>
        </is>
      </c>
      <c r="C59" t="inlineStr">
        <is>
          <t>CF680C BIM</t>
        </is>
      </c>
      <c r="D59" t="inlineStr">
        <is>
          <t>內部</t>
        </is>
      </c>
      <c r="E59" t="inlineStr">
        <is>
          <t>內案</t>
        </is>
      </c>
      <c r="F59" s="3" t="n">
        <v>363401</v>
      </c>
      <c r="G59" s="3" t="n">
        <v>-1391276</v>
      </c>
      <c r="H59" s="3" t="n">
        <v>-1027875</v>
      </c>
      <c r="I59" s="3" t="n">
        <v>0</v>
      </c>
      <c r="J59" s="3" t="n">
        <v>795000</v>
      </c>
    </row>
    <row r="60">
      <c r="A60" t="inlineStr">
        <is>
          <t>2026/09 ~ 2026/12</t>
        </is>
      </c>
      <c r="B60" t="inlineStr">
        <is>
          <t>C/92203</t>
        </is>
      </c>
      <c r="C60" t="inlineStr">
        <is>
          <t>N－WH BIM</t>
        </is>
      </c>
      <c r="D60" t="inlineStr">
        <is>
          <t>內部</t>
        </is>
      </c>
      <c r="E60" t="inlineStr">
        <is>
          <t>內案</t>
        </is>
      </c>
      <c r="F60" s="3" t="n">
        <v>181303</v>
      </c>
      <c r="G60" s="3" t="n">
        <v>-1428891</v>
      </c>
      <c r="H60" s="3" t="n">
        <v>-1247588</v>
      </c>
      <c r="I60" s="3" t="n">
        <v>0</v>
      </c>
      <c r="J60" s="3" t="n">
        <v>450000</v>
      </c>
    </row>
    <row r="61">
      <c r="A61" t="inlineStr">
        <is>
          <t>2026/09 ~ 2026/12</t>
        </is>
      </c>
      <c r="B61" t="inlineStr">
        <is>
          <t>C/92204</t>
        </is>
      </c>
      <c r="C61" t="inlineStr">
        <is>
          <t>國揚吉林機電</t>
        </is>
      </c>
      <c r="D61" t="inlineStr">
        <is>
          <t>內部</t>
        </is>
      </c>
      <c r="E61" t="inlineStr">
        <is>
          <t>內案</t>
        </is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t="inlineStr">
        <is>
          <t>2026/09 ~ 2026/12</t>
        </is>
      </c>
      <c r="B62" t="inlineStr">
        <is>
          <t>C/92301</t>
        </is>
      </c>
      <c r="C62" t="inlineStr">
        <is>
          <t>CF670A BIM 土木機電</t>
        </is>
      </c>
      <c r="D62" t="inlineStr">
        <is>
          <t>內部</t>
        </is>
      </c>
      <c r="E62" t="inlineStr">
        <is>
          <t>內案</t>
        </is>
      </c>
      <c r="F62" s="3" t="n">
        <v>499171</v>
      </c>
      <c r="G62" s="3" t="n">
        <v>-2637784</v>
      </c>
      <c r="H62" s="3" t="n">
        <v>-2138613</v>
      </c>
      <c r="I62" s="3" t="n">
        <v>0</v>
      </c>
      <c r="J62" s="3" t="n">
        <v>393000</v>
      </c>
    </row>
    <row r="63">
      <c r="A63" t="inlineStr">
        <is>
          <t>2026/09 ~ 2026/12</t>
        </is>
      </c>
      <c r="B63" t="inlineStr">
        <is>
          <t>C/92302</t>
        </is>
      </c>
      <c r="C63" t="inlineStr">
        <is>
          <t>富邦忠孝懷生BIM機電</t>
        </is>
      </c>
      <c r="D63" t="inlineStr">
        <is>
          <t>內部</t>
        </is>
      </c>
      <c r="E63" t="inlineStr">
        <is>
          <t>內案</t>
        </is>
      </c>
      <c r="F63" s="3" t="n">
        <v>704605</v>
      </c>
      <c r="G63" s="3" t="n">
        <v>-828871</v>
      </c>
      <c r="H63" s="3" t="n">
        <v>-124266</v>
      </c>
      <c r="I63" s="3" t="n">
        <v>-39693</v>
      </c>
      <c r="J63" s="3" t="n">
        <v>765000</v>
      </c>
    </row>
    <row r="64">
      <c r="A64" t="inlineStr">
        <is>
          <t>2026/09 ~ 2026/12</t>
        </is>
      </c>
      <c r="B64" t="inlineStr">
        <is>
          <t>C/92303</t>
        </is>
      </c>
      <c r="C64" t="inlineStr">
        <is>
          <t>信義兒福BIM機電</t>
        </is>
      </c>
      <c r="D64" t="inlineStr">
        <is>
          <t>外部</t>
        </is>
      </c>
      <c r="E64" t="inlineStr">
        <is>
          <t>外案</t>
        </is>
      </c>
      <c r="F64" s="3" t="n">
        <v>672829</v>
      </c>
      <c r="G64" s="3" t="n">
        <v>895048</v>
      </c>
      <c r="H64" s="3" t="n">
        <v>1567877</v>
      </c>
      <c r="I64" s="3" t="n">
        <v>0</v>
      </c>
      <c r="J64" s="3" t="n">
        <v>867500</v>
      </c>
    </row>
    <row r="65">
      <c r="A65" t="inlineStr">
        <is>
          <t>2026/09 ~ 2026/12</t>
        </is>
      </c>
      <c r="B65" t="inlineStr">
        <is>
          <t>C/92304</t>
        </is>
      </c>
      <c r="C65" t="inlineStr">
        <is>
          <t>捷運劍潭站TOD統包BIM機電</t>
        </is>
      </c>
      <c r="D65" t="inlineStr">
        <is>
          <t>內部</t>
        </is>
      </c>
      <c r="E65" t="inlineStr">
        <is>
          <t>內案</t>
        </is>
      </c>
      <c r="F65" s="3" t="n">
        <v>489008</v>
      </c>
      <c r="G65" s="3" t="n">
        <v>-537255</v>
      </c>
      <c r="H65" s="3" t="n">
        <v>-48247</v>
      </c>
      <c r="I65" s="3" t="n">
        <v>0</v>
      </c>
      <c r="J65" s="3" t="n">
        <v>160000</v>
      </c>
    </row>
    <row r="66">
      <c r="A66" t="inlineStr">
        <is>
          <t>2026/09 ~ 2026/12</t>
        </is>
      </c>
      <c r="B66" t="inlineStr">
        <is>
          <t>C/92401</t>
        </is>
      </c>
      <c r="C66" t="inlineStr">
        <is>
          <t>CJ17 土木機電</t>
        </is>
      </c>
      <c r="D66" t="inlineStr">
        <is>
          <t>內部</t>
        </is>
      </c>
      <c r="E66" t="inlineStr">
        <is>
          <t>內案</t>
        </is>
      </c>
      <c r="F66" s="3" t="n">
        <v>1891538</v>
      </c>
      <c r="G66" s="3" t="n">
        <v>-2709086</v>
      </c>
      <c r="H66" s="3" t="n">
        <v>-817548</v>
      </c>
      <c r="I66" s="3" t="n">
        <v>0</v>
      </c>
      <c r="J66" s="3" t="n">
        <v>1745000</v>
      </c>
    </row>
    <row r="67">
      <c r="A67" t="inlineStr">
        <is>
          <t>2026/09 ~ 2026/12</t>
        </is>
      </c>
      <c r="B67" t="inlineStr">
        <is>
          <t>C/92501</t>
        </is>
      </c>
      <c r="C67" t="inlineStr">
        <is>
          <t>CF670 BIM土木機電</t>
        </is>
      </c>
      <c r="D67" t="inlineStr">
        <is>
          <t>內部</t>
        </is>
      </c>
      <c r="E67" t="inlineStr">
        <is>
          <t>內案</t>
        </is>
      </c>
      <c r="F67" s="3" t="n">
        <v>1413901</v>
      </c>
      <c r="G67" s="3" t="n">
        <v>1134355</v>
      </c>
      <c r="H67" s="3" t="n">
        <v>2548256</v>
      </c>
      <c r="I67" s="3" t="n">
        <v>0</v>
      </c>
      <c r="J67" s="3" t="n">
        <v>2342500</v>
      </c>
    </row>
    <row r="68">
      <c r="A68" t="inlineStr">
        <is>
          <t>2026/09 ~ 2026/12</t>
        </is>
      </c>
      <c r="B68" t="inlineStr">
        <is>
          <t>C/92502</t>
        </is>
      </c>
      <c r="C68" t="inlineStr">
        <is>
          <t>擎邦-聯發科機電</t>
        </is>
      </c>
      <c r="D68" t="inlineStr">
        <is>
          <t>外部</t>
        </is>
      </c>
      <c r="E68" t="inlineStr">
        <is>
          <t>外案</t>
        </is>
      </c>
      <c r="F68" s="3" t="n">
        <v>83281</v>
      </c>
      <c r="G68" s="3" t="n">
        <v>-899649</v>
      </c>
      <c r="H68" s="3" t="n">
        <v>-816368</v>
      </c>
      <c r="I68" s="3" t="n">
        <v>0</v>
      </c>
      <c r="J68" s="3" t="n">
        <v>190000</v>
      </c>
    </row>
    <row r="69">
      <c r="A69" t="inlineStr">
        <is>
          <t>2026/09 ~ 2026/12</t>
        </is>
      </c>
      <c r="B69" t="inlineStr">
        <is>
          <t>C/92503</t>
        </is>
      </c>
      <c r="C69" t="inlineStr">
        <is>
          <t>CF690B BIM土木</t>
        </is>
      </c>
      <c r="D69" t="inlineStr">
        <is>
          <t>外部</t>
        </is>
      </c>
      <c r="E69" t="inlineStr">
        <is>
          <t>外案</t>
        </is>
      </c>
      <c r="F69" s="3" t="n">
        <v>181937</v>
      </c>
      <c r="G69" s="3" t="n">
        <v>-1838773</v>
      </c>
      <c r="H69" s="3" t="n">
        <v>-1656836</v>
      </c>
      <c r="I69" s="3" t="n">
        <v>0</v>
      </c>
      <c r="J69" s="3" t="n">
        <v>1140000</v>
      </c>
    </row>
    <row r="70">
      <c r="A70" t="inlineStr">
        <is>
          <t>2026/09 ~ 2026/12</t>
        </is>
      </c>
      <c r="B70" t="inlineStr">
        <is>
          <t>C/92504</t>
        </is>
      </c>
      <c r="C70" t="inlineStr">
        <is>
          <t>擎邦-員榮總醫院BIM</t>
        </is>
      </c>
      <c r="D70" t="inlineStr">
        <is>
          <t>外部</t>
        </is>
      </c>
      <c r="E70" t="inlineStr">
        <is>
          <t>外案</t>
        </is>
      </c>
      <c r="F70" s="3" t="n">
        <v>649138</v>
      </c>
      <c r="G70" s="3" t="n">
        <v>942591</v>
      </c>
      <c r="H70" s="3" t="n">
        <v>1591729</v>
      </c>
      <c r="I70" s="3" t="n">
        <v>0</v>
      </c>
      <c r="J70" s="3" t="n">
        <v>658000</v>
      </c>
    </row>
    <row r="71">
      <c r="A71" t="inlineStr">
        <is>
          <t>2026/09 ~ 2026/12</t>
        </is>
      </c>
      <c r="B71" t="inlineStr">
        <is>
          <t>C/92601</t>
        </is>
      </c>
      <c r="C71" t="inlineStr">
        <is>
          <t>擎邦-聯發科銅鑼</t>
        </is>
      </c>
      <c r="D71" t="inlineStr">
        <is>
          <t>外部</t>
        </is>
      </c>
      <c r="E71" t="inlineStr">
        <is>
          <t>外案</t>
        </is>
      </c>
      <c r="F71" s="3" t="n">
        <v>399000</v>
      </c>
      <c r="G71" s="3" t="n">
        <v>931000</v>
      </c>
      <c r="H71" s="3" t="n">
        <v>1330000</v>
      </c>
      <c r="I71" s="3" t="n">
        <v>0</v>
      </c>
      <c r="J71" s="3" t="n">
        <v>1330000</v>
      </c>
    </row>
    <row r="72">
      <c r="A72" t="inlineStr">
        <is>
          <t>2026/09 ~ 2026/12</t>
        </is>
      </c>
      <c r="B72" t="inlineStr">
        <is>
          <t>C/92602</t>
        </is>
      </c>
      <c r="C72" t="inlineStr">
        <is>
          <t>擎邦-CF624F機電(CF690B機電)</t>
        </is>
      </c>
      <c r="D72" t="inlineStr">
        <is>
          <t>外部</t>
        </is>
      </c>
      <c r="E72" t="inlineStr">
        <is>
          <t>外案</t>
        </is>
      </c>
      <c r="F72" s="3" t="n">
        <v>24110</v>
      </c>
      <c r="G72" s="3" t="n">
        <v>11250</v>
      </c>
      <c r="H72" s="3" t="n">
        <v>35360</v>
      </c>
      <c r="I72" s="3" t="n">
        <v>0</v>
      </c>
      <c r="J72" s="3" t="n">
        <v>2754000</v>
      </c>
    </row>
    <row r="73">
      <c r="A73" t="inlineStr">
        <is>
          <t>2026/09 ~ 2026/12</t>
        </is>
      </c>
      <c r="B73" t="inlineStr">
        <is>
          <t>C/92603</t>
        </is>
      </c>
      <c r="C73" t="inlineStr">
        <is>
          <t>中華郵政信維機電</t>
        </is>
      </c>
      <c r="D73" t="inlineStr">
        <is>
          <t>內部</t>
        </is>
      </c>
      <c r="E73" t="inlineStr">
        <is>
          <t>內案</t>
        </is>
      </c>
      <c r="F73" s="3" t="n">
        <v>219162</v>
      </c>
      <c r="G73" s="3" t="n">
        <v>129847</v>
      </c>
      <c r="H73" s="3" t="n">
        <v>349009</v>
      </c>
      <c r="I73" s="3" t="n">
        <v>0</v>
      </c>
      <c r="J73" s="3" t="n">
        <v>0</v>
      </c>
    </row>
    <row r="74">
      <c r="A74" t="inlineStr">
        <is>
          <t>2026/09 ~ 2026/12</t>
        </is>
      </c>
      <c r="B74" t="inlineStr">
        <is>
          <t>C/91001_26</t>
        </is>
      </c>
      <c r="C74" t="inlineStr">
        <is>
          <t>新取得BIM土木機電-26年</t>
        </is>
      </c>
      <c r="D74" t="inlineStr">
        <is>
          <t>內部</t>
        </is>
      </c>
      <c r="E74" t="inlineStr">
        <is>
          <t>內案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t="inlineStr">
        <is>
          <t>2026/09 ~ 2026/12</t>
        </is>
      </c>
      <c r="B75" t="inlineStr">
        <is>
          <t>C/91000_27</t>
        </is>
      </c>
      <c r="C75" t="inlineStr">
        <is>
          <t>新取得BIM土木機電-26年</t>
        </is>
      </c>
      <c r="D75" t="inlineStr">
        <is>
          <t>內部</t>
        </is>
      </c>
      <c r="E75" t="inlineStr">
        <is>
          <t>內案</t>
        </is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t="inlineStr">
        <is>
          <t>2026/09 ~ 2026/12</t>
        </is>
      </c>
      <c r="B76" t="inlineStr">
        <is>
          <t>C/91001_27</t>
        </is>
      </c>
      <c r="C76" t="inlineStr">
        <is>
          <t>新取得BIM土木機電-27年</t>
        </is>
      </c>
      <c r="D76" t="inlineStr">
        <is>
          <t>內部</t>
        </is>
      </c>
      <c r="E76" t="inlineStr">
        <is>
          <t>內案</t>
        </is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</row>
    <row r="77">
      <c r="A77" t="inlineStr">
        <is>
          <t>2026/09 ~ 2026/12</t>
        </is>
      </c>
      <c r="B77" t="inlineStr">
        <is>
          <t>C/91002_27</t>
        </is>
      </c>
      <c r="C77" t="inlineStr">
        <is>
          <t>新取得BIM土木機電-28年</t>
        </is>
      </c>
      <c r="D77" t="inlineStr">
        <is>
          <t>內部</t>
        </is>
      </c>
      <c r="E77" t="inlineStr">
        <is>
          <t>內案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t="inlineStr">
        <is>
          <t>2026/09 ~ 2026/12</t>
        </is>
      </c>
      <c r="B78" t="inlineStr">
        <is>
          <t>C/91003_27</t>
        </is>
      </c>
      <c r="C78" t="inlineStr">
        <is>
          <t>新取得BIM土木機電-29年</t>
        </is>
      </c>
      <c r="D78" t="inlineStr">
        <is>
          <t>內部</t>
        </is>
      </c>
      <c r="E78" t="inlineStr">
        <is>
          <t>內案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t="inlineStr">
        <is>
          <t>2026/09 ~ 2026/12</t>
        </is>
      </c>
      <c r="B79" t="inlineStr">
        <is>
          <t>C/91004_27</t>
        </is>
      </c>
      <c r="C79" t="inlineStr">
        <is>
          <t>新取得BIM土木機電-30年</t>
        </is>
      </c>
      <c r="D79" t="inlineStr">
        <is>
          <t>內部</t>
        </is>
      </c>
      <c r="E79" t="inlineStr">
        <is>
          <t>內案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t="inlineStr">
        <is>
          <t>2026/09 ~ 2026/12</t>
        </is>
      </c>
      <c r="B80" t="inlineStr">
        <is>
          <t>C/91005_27</t>
        </is>
      </c>
      <c r="C80" t="inlineStr">
        <is>
          <t>新取得BIM土木機電-31年</t>
        </is>
      </c>
      <c r="D80" t="inlineStr">
        <is>
          <t>內部</t>
        </is>
      </c>
      <c r="E80" t="inlineStr">
        <is>
          <t>內案</t>
        </is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</row>
    <row r="81">
      <c r="A81" t="inlineStr">
        <is>
          <t>2026/09 ~ 2026/12</t>
        </is>
      </c>
      <c r="B81" t="inlineStr">
        <is>
          <t>C/9210F</t>
        </is>
      </c>
      <c r="C81" t="inlineStr">
        <is>
          <t>南港機廠BIM建築</t>
        </is>
      </c>
      <c r="D81" t="inlineStr">
        <is>
          <t>外部</t>
        </is>
      </c>
      <c r="E81" t="inlineStr">
        <is>
          <t>外案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t="inlineStr">
        <is>
          <t>2026/09 ~ 2026/12</t>
        </is>
      </c>
      <c r="B82" t="inlineStr">
        <is>
          <t>C/9210G</t>
        </is>
      </c>
      <c r="C82" t="inlineStr">
        <is>
          <t>富邦忠孝懷生BIM建築</t>
        </is>
      </c>
      <c r="D82" t="inlineStr">
        <is>
          <t>內部</t>
        </is>
      </c>
      <c r="E82" t="inlineStr">
        <is>
          <t>內案</t>
        </is>
      </c>
      <c r="F82" s="3" t="n">
        <v>294034</v>
      </c>
      <c r="G82" s="3" t="n">
        <v>-310742</v>
      </c>
      <c r="H82" s="3" t="n">
        <v>-16708</v>
      </c>
      <c r="I82" s="3" t="n">
        <v>-36698</v>
      </c>
      <c r="J82" s="3" t="n">
        <v>260000</v>
      </c>
    </row>
    <row r="83">
      <c r="A83" t="inlineStr">
        <is>
          <t>2026/09 ~ 2026/12</t>
        </is>
      </c>
      <c r="B83" t="inlineStr">
        <is>
          <t>C/9220E</t>
        </is>
      </c>
      <c r="C83" t="inlineStr">
        <is>
          <t>柏鴻北士科 C/9100A-22A</t>
        </is>
      </c>
      <c r="D83" t="inlineStr">
        <is>
          <t>內部</t>
        </is>
      </c>
      <c r="E83" t="inlineStr">
        <is>
          <t>內案</t>
        </is>
      </c>
      <c r="F83" s="3" t="n">
        <v>136322</v>
      </c>
      <c r="G83" s="3" t="n">
        <v>-267514</v>
      </c>
      <c r="H83" s="3" t="n">
        <v>-131192</v>
      </c>
      <c r="I83" s="3" t="n">
        <v>0</v>
      </c>
      <c r="J83" s="3" t="n">
        <v>110000</v>
      </c>
    </row>
    <row r="84">
      <c r="A84" t="inlineStr">
        <is>
          <t>2026/09 ~ 2026/12</t>
        </is>
      </c>
      <c r="B84" t="inlineStr">
        <is>
          <t>C/9230A</t>
        </is>
      </c>
      <c r="C84" t="inlineStr">
        <is>
          <t>信義兒福BIM建築</t>
        </is>
      </c>
      <c r="D84" t="inlineStr">
        <is>
          <t>外部</t>
        </is>
      </c>
      <c r="E84" t="inlineStr">
        <is>
          <t>外案</t>
        </is>
      </c>
      <c r="F84" s="3" t="n">
        <v>28391</v>
      </c>
      <c r="G84" s="3" t="n">
        <v>-334989</v>
      </c>
      <c r="H84" s="3" t="n">
        <v>-306598</v>
      </c>
      <c r="I84" s="3" t="n">
        <v>0</v>
      </c>
      <c r="J84" s="3" t="n">
        <v>0</v>
      </c>
    </row>
    <row r="85">
      <c r="A85" t="inlineStr">
        <is>
          <t>2026/09 ~ 2026/12</t>
        </is>
      </c>
      <c r="B85" t="inlineStr">
        <is>
          <t>C/9230B</t>
        </is>
      </c>
      <c r="C85" t="inlineStr">
        <is>
          <t>北捷劍潭TOD</t>
        </is>
      </c>
      <c r="D85" t="inlineStr">
        <is>
          <t>內部</t>
        </is>
      </c>
      <c r="E85" t="inlineStr">
        <is>
          <t>內案</t>
        </is>
      </c>
      <c r="F85" s="3" t="n">
        <v>1015361</v>
      </c>
      <c r="G85" s="3" t="n">
        <v>-365407</v>
      </c>
      <c r="H85" s="3" t="n">
        <v>649954</v>
      </c>
      <c r="I85" s="3" t="n">
        <v>0</v>
      </c>
      <c r="J85" s="3" t="n">
        <v>1830000</v>
      </c>
    </row>
    <row r="86">
      <c r="A86" t="inlineStr">
        <is>
          <t>2026/09 ~ 2026/12</t>
        </is>
      </c>
      <c r="B86" t="inlineStr">
        <is>
          <t>C/9230C</t>
        </is>
      </c>
      <c r="C86" t="inlineStr">
        <is>
          <t>慶城福華-23年</t>
        </is>
      </c>
      <c r="D86" t="inlineStr">
        <is>
          <t>內部</t>
        </is>
      </c>
      <c r="E86" t="inlineStr">
        <is>
          <t>內案</t>
        </is>
      </c>
      <c r="F86" s="3" t="n">
        <v>336810</v>
      </c>
      <c r="G86" s="3" t="n">
        <v>-189078</v>
      </c>
      <c r="H86" s="3" t="n">
        <v>147732</v>
      </c>
      <c r="I86" s="3" t="n">
        <v>0</v>
      </c>
      <c r="J86" s="3" t="n">
        <v>570000</v>
      </c>
    </row>
    <row r="87">
      <c r="A87" t="inlineStr">
        <is>
          <t>2026/09 ~ 2026/12</t>
        </is>
      </c>
      <c r="B87" t="inlineStr">
        <is>
          <t>C/9240A</t>
        </is>
      </c>
      <c r="C87" t="inlineStr">
        <is>
          <t>南港國際一</t>
        </is>
      </c>
      <c r="D87" t="inlineStr">
        <is>
          <t>內部</t>
        </is>
      </c>
      <c r="E87" t="inlineStr">
        <is>
          <t>內案</t>
        </is>
      </c>
      <c r="F87" s="3" t="n">
        <v>1334613</v>
      </c>
      <c r="G87" s="3" t="n">
        <v>-1455715</v>
      </c>
      <c r="H87" s="3" t="n">
        <v>-121102</v>
      </c>
      <c r="I87" s="3" t="n">
        <v>0</v>
      </c>
      <c r="J87" s="3" t="n">
        <v>1740000</v>
      </c>
    </row>
    <row r="88">
      <c r="A88" t="inlineStr">
        <is>
          <t>2026/09 ~ 2026/12</t>
        </is>
      </c>
      <c r="B88" t="inlineStr">
        <is>
          <t>C/9240B</t>
        </is>
      </c>
      <c r="C88" t="inlineStr">
        <is>
          <t xml:space="preserve">台中洲際BIM建築 </t>
        </is>
      </c>
      <c r="D88" t="inlineStr">
        <is>
          <t>內部</t>
        </is>
      </c>
      <c r="E88" t="inlineStr">
        <is>
          <t>內案</t>
        </is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t="inlineStr">
        <is>
          <t>2026/09 ~ 2026/12</t>
        </is>
      </c>
      <c r="B89" t="inlineStr">
        <is>
          <t>C/9240C</t>
        </is>
      </c>
      <c r="C89" t="inlineStr">
        <is>
          <t xml:space="preserve">大直金泰BIM建築 </t>
        </is>
      </c>
      <c r="D89" t="inlineStr">
        <is>
          <t>內部</t>
        </is>
      </c>
      <c r="E89" t="inlineStr">
        <is>
          <t>內案</t>
        </is>
      </c>
      <c r="F89" s="3" t="n">
        <v>198760</v>
      </c>
      <c r="G89" s="3" t="n">
        <v>-396978</v>
      </c>
      <c r="H89" s="3" t="n">
        <v>-198218</v>
      </c>
      <c r="I89" s="3" t="n">
        <v>0</v>
      </c>
      <c r="J89" s="3" t="n">
        <v>150000</v>
      </c>
    </row>
    <row r="90">
      <c r="A90" t="inlineStr">
        <is>
          <t>2026/09 ~ 2026/12</t>
        </is>
      </c>
      <c r="B90" t="inlineStr">
        <is>
          <t>C/9240D</t>
        </is>
      </c>
      <c r="C90" t="inlineStr">
        <is>
          <t xml:space="preserve">板橋新雅BIM建築 </t>
        </is>
      </c>
      <c r="D90" t="inlineStr">
        <is>
          <t>內部</t>
        </is>
      </c>
      <c r="E90" t="inlineStr">
        <is>
          <t>內案</t>
        </is>
      </c>
      <c r="F90" s="3" t="n">
        <v>18841</v>
      </c>
      <c r="G90" s="3" t="n">
        <v>-307486</v>
      </c>
      <c r="H90" s="3" t="n">
        <v>-288645</v>
      </c>
      <c r="I90" s="3" t="n">
        <v>0</v>
      </c>
      <c r="J90" s="3" t="n">
        <v>65000</v>
      </c>
    </row>
    <row r="91">
      <c r="A91" t="inlineStr">
        <is>
          <t>2026/09 ~ 2026/12</t>
        </is>
      </c>
      <c r="B91" t="inlineStr">
        <is>
          <t>C/9240E</t>
        </is>
      </c>
      <c r="C91" t="inlineStr">
        <is>
          <t xml:space="preserve">板橋四維BIM建築 </t>
        </is>
      </c>
      <c r="D91" t="inlineStr">
        <is>
          <t>內部</t>
        </is>
      </c>
      <c r="E91" t="inlineStr">
        <is>
          <t>內案</t>
        </is>
      </c>
      <c r="F91" s="3" t="n">
        <v>0</v>
      </c>
      <c r="G91" s="3" t="n">
        <v>645000</v>
      </c>
      <c r="H91" s="3" t="n">
        <v>645000</v>
      </c>
      <c r="I91" s="3" t="n">
        <v>0</v>
      </c>
      <c r="J91" s="3" t="n">
        <v>645000</v>
      </c>
    </row>
    <row r="92">
      <c r="A92" t="inlineStr">
        <is>
          <t>2026/09 ~ 2026/12</t>
        </is>
      </c>
      <c r="B92" t="inlineStr">
        <is>
          <t>C/9240F</t>
        </is>
      </c>
      <c r="C92" t="inlineStr">
        <is>
          <t>台中新美齊</t>
        </is>
      </c>
      <c r="D92" t="inlineStr">
        <is>
          <t>內部</t>
        </is>
      </c>
      <c r="E92" t="inlineStr">
        <is>
          <t>內案</t>
        </is>
      </c>
      <c r="F92" s="3" t="n">
        <v>92625</v>
      </c>
      <c r="G92" s="3" t="n">
        <v>-55561</v>
      </c>
      <c r="H92" s="3" t="n">
        <v>37064</v>
      </c>
      <c r="I92" s="3" t="n">
        <v>0</v>
      </c>
      <c r="J92" s="3" t="n">
        <v>125000</v>
      </c>
    </row>
    <row r="93">
      <c r="A93" t="inlineStr">
        <is>
          <t>2026/09 ~ 2026/12</t>
        </is>
      </c>
      <c r="B93" t="inlineStr">
        <is>
          <t>C/9240G</t>
        </is>
      </c>
      <c r="C93" t="inlineStr">
        <is>
          <t>晨禎片片山閑</t>
        </is>
      </c>
      <c r="D93" t="inlineStr">
        <is>
          <t>外部</t>
        </is>
      </c>
      <c r="E93" t="inlineStr">
        <is>
          <t>外案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t="inlineStr">
        <is>
          <t>2026/09 ~ 2026/12</t>
        </is>
      </c>
      <c r="B94" t="inlineStr">
        <is>
          <t>C/9250A</t>
        </is>
      </c>
      <c r="C94" t="inlineStr">
        <is>
          <t>南機二區BIM服務</t>
        </is>
      </c>
      <c r="D94" t="inlineStr">
        <is>
          <t>內部</t>
        </is>
      </c>
      <c r="E94" t="inlineStr">
        <is>
          <t>內案</t>
        </is>
      </c>
      <c r="F94" s="3" t="n">
        <v>1759014</v>
      </c>
      <c r="G94" s="3" t="n">
        <v>-531850</v>
      </c>
      <c r="H94" s="3" t="n">
        <v>1227164</v>
      </c>
      <c r="I94" s="3" t="n">
        <v>0</v>
      </c>
      <c r="J94" s="3" t="n">
        <v>1790000</v>
      </c>
    </row>
    <row r="95">
      <c r="A95" t="inlineStr">
        <is>
          <t>2026/09 ~ 2026/12</t>
        </is>
      </c>
      <c r="B95" t="inlineStr">
        <is>
          <t>C/9250B</t>
        </is>
      </c>
      <c r="C95" t="inlineStr">
        <is>
          <t>璞真南港總部</t>
        </is>
      </c>
      <c r="D95" t="inlineStr">
        <is>
          <t>內部</t>
        </is>
      </c>
      <c r="E95" t="inlineStr">
        <is>
          <t>內案</t>
        </is>
      </c>
      <c r="F95" s="3" t="n">
        <v>153544</v>
      </c>
      <c r="G95" s="3" t="n">
        <v>-288690</v>
      </c>
      <c r="H95" s="3" t="n">
        <v>-135146</v>
      </c>
      <c r="I95" s="3" t="n">
        <v>0</v>
      </c>
      <c r="J95" s="3" t="n">
        <v>80000</v>
      </c>
    </row>
    <row r="96">
      <c r="A96" t="inlineStr">
        <is>
          <t>2026/09 ~ 2026/12</t>
        </is>
      </c>
      <c r="B96" t="inlineStr">
        <is>
          <t>C/9250C</t>
        </is>
      </c>
      <c r="C96" t="inlineStr">
        <is>
          <t>築源南港</t>
        </is>
      </c>
      <c r="D96" t="inlineStr">
        <is>
          <t>內部</t>
        </is>
      </c>
      <c r="E96" t="inlineStr">
        <is>
          <t>內案</t>
        </is>
      </c>
      <c r="F96" s="3" t="n">
        <v>323471</v>
      </c>
      <c r="G96" s="3" t="n">
        <v>-170152</v>
      </c>
      <c r="H96" s="3" t="n">
        <v>153319</v>
      </c>
      <c r="I96" s="3" t="n">
        <v>0</v>
      </c>
      <c r="J96" s="3" t="n">
        <v>640000</v>
      </c>
    </row>
    <row r="97">
      <c r="A97" t="inlineStr">
        <is>
          <t>2026/09 ~ 2026/12</t>
        </is>
      </c>
      <c r="B97" t="inlineStr">
        <is>
          <t>C/9250D</t>
        </is>
      </c>
      <c r="C97" t="inlineStr">
        <is>
          <t>南港三重</t>
        </is>
      </c>
      <c r="D97" t="inlineStr">
        <is>
          <t>內部</t>
        </is>
      </c>
      <c r="E97" t="inlineStr">
        <is>
          <t>內案</t>
        </is>
      </c>
      <c r="F97" s="3" t="n">
        <v>343680</v>
      </c>
      <c r="G97" s="3" t="n">
        <v>-75892</v>
      </c>
      <c r="H97" s="3" t="n">
        <v>267788</v>
      </c>
      <c r="I97" s="3" t="n">
        <v>0</v>
      </c>
      <c r="J97" s="3" t="n">
        <v>620000</v>
      </c>
    </row>
    <row r="98">
      <c r="A98" t="inlineStr">
        <is>
          <t>2026/09 ~ 2026/12</t>
        </is>
      </c>
      <c r="B98" t="inlineStr">
        <is>
          <t>C/9260A</t>
        </is>
      </c>
      <c r="C98" t="inlineStr">
        <is>
          <t>台中楓溪</t>
        </is>
      </c>
      <c r="D98" t="inlineStr">
        <is>
          <t>內部</t>
        </is>
      </c>
      <c r="E98" t="inlineStr">
        <is>
          <t>內案</t>
        </is>
      </c>
      <c r="F98" s="3" t="n">
        <v>341157</v>
      </c>
      <c r="G98" s="3" t="n">
        <v>128836</v>
      </c>
      <c r="H98" s="3" t="n">
        <v>469993</v>
      </c>
      <c r="I98" s="3" t="n">
        <v>0</v>
      </c>
      <c r="J98" s="3" t="n">
        <v>480000</v>
      </c>
    </row>
    <row r="99">
      <c r="A99" t="inlineStr">
        <is>
          <t>2026/09 ~ 2026/12</t>
        </is>
      </c>
      <c r="B99" t="inlineStr">
        <is>
          <t>C/9260B</t>
        </is>
      </c>
      <c r="C99" t="inlineStr">
        <is>
          <t>樺輝永鑄</t>
        </is>
      </c>
      <c r="D99" t="inlineStr">
        <is>
          <t>內部</t>
        </is>
      </c>
      <c r="E99" t="inlineStr">
        <is>
          <t>內案</t>
        </is>
      </c>
      <c r="F99" s="3" t="n">
        <v>270974</v>
      </c>
      <c r="G99" s="3" t="n">
        <v>248471</v>
      </c>
      <c r="H99" s="3" t="n">
        <v>519445</v>
      </c>
      <c r="I99" s="3" t="n">
        <v>0</v>
      </c>
      <c r="J99" s="3" t="n">
        <v>534000</v>
      </c>
    </row>
    <row r="100">
      <c r="A100" t="inlineStr">
        <is>
          <t>2026/09 ~ 2026/12</t>
        </is>
      </c>
      <c r="B100" t="inlineStr">
        <is>
          <t>C/9260C</t>
        </is>
      </c>
      <c r="C100" t="inlineStr">
        <is>
          <t>中華郵政信維</t>
        </is>
      </c>
      <c r="D100" t="inlineStr">
        <is>
          <t>內部</t>
        </is>
      </c>
      <c r="E100" t="inlineStr">
        <is>
          <t>內案</t>
        </is>
      </c>
      <c r="F100" s="3" t="n">
        <v>200533</v>
      </c>
      <c r="G100" s="3" t="n">
        <v>710103</v>
      </c>
      <c r="H100" s="3" t="n">
        <v>910636</v>
      </c>
      <c r="I100" s="3" t="n">
        <v>0</v>
      </c>
      <c r="J100" s="3" t="n">
        <v>1195000</v>
      </c>
    </row>
    <row r="101">
      <c r="A101" t="inlineStr">
        <is>
          <t>2026/09 ~ 2026/12</t>
        </is>
      </c>
      <c r="B101" t="inlineStr">
        <is>
          <t>C/9260D</t>
        </is>
      </c>
      <c r="C101" t="inlineStr">
        <is>
          <t>大安復興</t>
        </is>
      </c>
      <c r="D101" t="inlineStr">
        <is>
          <t>內部</t>
        </is>
      </c>
      <c r="E101" t="inlineStr">
        <is>
          <t>內案</t>
        </is>
      </c>
      <c r="F101" s="3" t="n">
        <v>195479</v>
      </c>
      <c r="G101" s="3" t="n">
        <v>190810</v>
      </c>
      <c r="H101" s="3" t="n">
        <v>386289</v>
      </c>
      <c r="I101" s="3" t="n">
        <v>0</v>
      </c>
      <c r="J101" s="3" t="n">
        <v>370000</v>
      </c>
    </row>
    <row r="102">
      <c r="A102" t="inlineStr">
        <is>
          <t>2026/09 ~ 2026/12</t>
        </is>
      </c>
      <c r="B102" t="inlineStr">
        <is>
          <t>C/9100B_26</t>
        </is>
      </c>
      <c r="C102" t="inlineStr">
        <is>
          <t>新取得BIM建築-26年</t>
        </is>
      </c>
      <c r="D102" t="inlineStr">
        <is>
          <t>內部</t>
        </is>
      </c>
      <c r="E102" t="inlineStr">
        <is>
          <t>內案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t="inlineStr">
        <is>
          <t>2026/09 ~ 2026/12</t>
        </is>
      </c>
      <c r="B103" t="inlineStr">
        <is>
          <t>C/9100A_27</t>
        </is>
      </c>
      <c r="C103" t="inlineStr">
        <is>
          <t>新取得BIM建築-26年</t>
        </is>
      </c>
      <c r="D103" t="inlineStr">
        <is>
          <t>內部</t>
        </is>
      </c>
      <c r="E103" t="inlineStr">
        <is>
          <t>內案</t>
        </is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t="inlineStr">
        <is>
          <t>2026/09 ~ 2026/12</t>
        </is>
      </c>
      <c r="B104" t="inlineStr">
        <is>
          <t>C/9100B_27</t>
        </is>
      </c>
      <c r="C104" t="inlineStr">
        <is>
          <t>新取得BIM建築-27年</t>
        </is>
      </c>
      <c r="D104" t="inlineStr">
        <is>
          <t>內部</t>
        </is>
      </c>
      <c r="E104" t="inlineStr">
        <is>
          <t>內案</t>
        </is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t="inlineStr">
        <is>
          <t>2026/09 ~ 2026/12</t>
        </is>
      </c>
      <c r="B105" t="inlineStr">
        <is>
          <t>C/9100C_27</t>
        </is>
      </c>
      <c r="C105" t="inlineStr">
        <is>
          <t>新取得BIM建築-28年</t>
        </is>
      </c>
      <c r="D105" t="inlineStr">
        <is>
          <t>內部</t>
        </is>
      </c>
      <c r="E105" t="inlineStr">
        <is>
          <t>內案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t="inlineStr">
        <is>
          <t>2026/09 ~ 2026/12</t>
        </is>
      </c>
      <c r="B106" t="inlineStr">
        <is>
          <t>C/9100D_27</t>
        </is>
      </c>
      <c r="C106" t="inlineStr">
        <is>
          <t>新取得BIM建築-29年</t>
        </is>
      </c>
      <c r="D106" t="inlineStr">
        <is>
          <t>內部</t>
        </is>
      </c>
      <c r="E106" t="inlineStr">
        <is>
          <t>內案</t>
        </is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</row>
    <row r="107">
      <c r="A107" t="inlineStr">
        <is>
          <t>2026/09 ~ 2026/12</t>
        </is>
      </c>
      <c r="B107" t="inlineStr">
        <is>
          <t>C/9100E_27</t>
        </is>
      </c>
      <c r="C107" t="inlineStr">
        <is>
          <t>新取得BIM建築-30年</t>
        </is>
      </c>
      <c r="D107" t="inlineStr">
        <is>
          <t>內部</t>
        </is>
      </c>
      <c r="E107" t="inlineStr">
        <is>
          <t>內案</t>
        </is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t="inlineStr">
        <is>
          <t>2026/09 ~ 2026/12</t>
        </is>
      </c>
      <c r="B108" t="inlineStr">
        <is>
          <t>C/9100F_27</t>
        </is>
      </c>
      <c r="C108" t="inlineStr">
        <is>
          <t>新取得BIM建築-31年</t>
        </is>
      </c>
      <c r="D108" t="inlineStr">
        <is>
          <t>內部</t>
        </is>
      </c>
      <c r="E108" t="inlineStr">
        <is>
          <t>內案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t="inlineStr">
        <is>
          <t>2026/09 ~ 2026/12</t>
        </is>
      </c>
      <c r="B109" t="inlineStr">
        <is>
          <t>C/99992</t>
        </is>
      </c>
      <c r="C109" t="inlineStr">
        <is>
          <t>雜項BIM土木機電</t>
        </is>
      </c>
      <c r="D109" t="inlineStr">
        <is>
          <t>內/無</t>
        </is>
      </c>
      <c r="E109" t="inlineStr">
        <is>
          <t>雜項</t>
        </is>
      </c>
      <c r="F109" s="3" t="n">
        <v>173139</v>
      </c>
      <c r="G109" s="3" t="n">
        <v>614361</v>
      </c>
      <c r="H109" s="3" t="n">
        <v>787500</v>
      </c>
      <c r="I109" s="3" t="n">
        <v>0</v>
      </c>
      <c r="J109" s="3" t="n">
        <v>787500</v>
      </c>
    </row>
    <row r="110">
      <c r="A110" t="inlineStr">
        <is>
          <t>2026/09 ~ 2026/12</t>
        </is>
      </c>
      <c r="B110" t="inlineStr">
        <is>
          <t>C/99992-1</t>
        </is>
      </c>
      <c r="C110" t="inlineStr">
        <is>
          <t>雜項BIM土木機電(外案收入)</t>
        </is>
      </c>
      <c r="D110" t="inlineStr">
        <is>
          <t>外部</t>
        </is>
      </c>
      <c r="E110" t="inlineStr">
        <is>
          <t>外案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t="inlineStr">
        <is>
          <t>2026/09 ~ 2026/12</t>
        </is>
      </c>
      <c r="B111" t="inlineStr">
        <is>
          <t>C/99993</t>
        </is>
      </c>
      <c r="C111" t="inlineStr">
        <is>
          <t>備標BIM土木機電</t>
        </is>
      </c>
      <c r="D111" t="inlineStr">
        <is>
          <t>備標</t>
        </is>
      </c>
      <c r="E111" t="inlineStr">
        <is>
          <t>備標</t>
        </is>
      </c>
      <c r="F111" s="3" t="n">
        <v>112321</v>
      </c>
      <c r="G111" s="3" t="n">
        <v>1087679</v>
      </c>
      <c r="H111" s="3" t="n">
        <v>1200000</v>
      </c>
      <c r="I111" s="3" t="n">
        <v>0</v>
      </c>
      <c r="J111" s="3" t="n">
        <v>1200000</v>
      </c>
    </row>
    <row r="112">
      <c r="A112" t="inlineStr">
        <is>
          <t>2026/09 ~ 2026/12</t>
        </is>
      </c>
      <c r="B112" t="inlineStr">
        <is>
          <t>C/9999B</t>
        </is>
      </c>
      <c r="C112" t="inlineStr">
        <is>
          <t>雜項BIM建築</t>
        </is>
      </c>
      <c r="D112" t="inlineStr">
        <is>
          <t>內/無</t>
        </is>
      </c>
      <c r="E112" t="inlineStr">
        <is>
          <t>雜項</t>
        </is>
      </c>
      <c r="F112" s="3" t="n">
        <v>0</v>
      </c>
      <c r="G112" s="3" t="n">
        <v>480000</v>
      </c>
      <c r="H112" s="3" t="n">
        <v>480000</v>
      </c>
      <c r="I112" s="3" t="n">
        <v>0</v>
      </c>
      <c r="J112" s="3" t="n">
        <v>480000</v>
      </c>
    </row>
    <row r="113">
      <c r="A113" t="inlineStr">
        <is>
          <t>2026/09 ~ 2026/12</t>
        </is>
      </c>
      <c r="B113" t="inlineStr">
        <is>
          <t>C/9999D</t>
        </is>
      </c>
      <c r="C113" t="inlineStr">
        <is>
          <t>備標BIM建築</t>
        </is>
      </c>
      <c r="D113" t="inlineStr">
        <is>
          <t>備標</t>
        </is>
      </c>
      <c r="E113" t="inlineStr">
        <is>
          <t>備標</t>
        </is>
      </c>
      <c r="F113" s="3" t="n">
        <v>613257</v>
      </c>
      <c r="G113" s="3" t="n">
        <v>346743</v>
      </c>
      <c r="H113" s="3" t="n">
        <v>960000</v>
      </c>
      <c r="I113" s="3" t="n">
        <v>0</v>
      </c>
      <c r="J113" s="3" t="n">
        <v>960000</v>
      </c>
    </row>
    <row r="114">
      <c r="A114" t="inlineStr">
        <is>
          <t>累計2026/12</t>
        </is>
      </c>
      <c r="B114" t="inlineStr">
        <is>
          <t>C/92103</t>
        </is>
      </c>
      <c r="C114" t="inlineStr">
        <is>
          <t>CQ840 BIM</t>
        </is>
      </c>
      <c r="D114" t="inlineStr">
        <is>
          <t>內部</t>
        </is>
      </c>
      <c r="E114" t="inlineStr">
        <is>
          <t>內案</t>
        </is>
      </c>
      <c r="F114" s="3" t="n">
        <v>779146</v>
      </c>
      <c r="G114" s="3" t="n">
        <v>-132470</v>
      </c>
      <c r="H114" s="3" t="n">
        <v>646676</v>
      </c>
      <c r="I114" s="3" t="n">
        <v>-201922</v>
      </c>
      <c r="J114" s="3" t="n">
        <v>1632393</v>
      </c>
    </row>
    <row r="115">
      <c r="A115" t="inlineStr">
        <is>
          <t>累計2026/12</t>
        </is>
      </c>
      <c r="B115" t="inlineStr">
        <is>
          <t>C/92202</t>
        </is>
      </c>
      <c r="C115" t="inlineStr">
        <is>
          <t>CF680C BIM</t>
        </is>
      </c>
      <c r="D115" t="inlineStr">
        <is>
          <t>內部</t>
        </is>
      </c>
      <c r="E115" t="inlineStr">
        <is>
          <t>內案</t>
        </is>
      </c>
      <c r="F115" s="3" t="n">
        <v>10399315</v>
      </c>
      <c r="G115" s="3" t="n">
        <v>5000810</v>
      </c>
      <c r="H115" s="3" t="n">
        <v>15400125</v>
      </c>
      <c r="I115" s="3" t="n">
        <v>0</v>
      </c>
      <c r="J115" s="3" t="n">
        <v>17223000</v>
      </c>
    </row>
    <row r="116">
      <c r="A116" t="inlineStr">
        <is>
          <t>累計2026/12</t>
        </is>
      </c>
      <c r="B116" t="inlineStr">
        <is>
          <t>C/92203</t>
        </is>
      </c>
      <c r="C116" t="inlineStr">
        <is>
          <t>N－WH BIM</t>
        </is>
      </c>
      <c r="D116" t="inlineStr">
        <is>
          <t>內部</t>
        </is>
      </c>
      <c r="E116" t="inlineStr">
        <is>
          <t>內案</t>
        </is>
      </c>
      <c r="F116" s="3" t="n">
        <v>4997144</v>
      </c>
      <c r="G116" s="3" t="n">
        <v>1726786</v>
      </c>
      <c r="H116" s="3" t="n">
        <v>6723930</v>
      </c>
      <c r="I116" s="3" t="n">
        <v>0</v>
      </c>
      <c r="J116" s="3" t="n">
        <v>8421518</v>
      </c>
    </row>
    <row r="117">
      <c r="A117" t="inlineStr">
        <is>
          <t>累計2026/12</t>
        </is>
      </c>
      <c r="B117" t="inlineStr">
        <is>
          <t>C/92204</t>
        </is>
      </c>
      <c r="C117" t="inlineStr">
        <is>
          <t>國揚吉林機電</t>
        </is>
      </c>
      <c r="D117" t="inlineStr">
        <is>
          <t>內部</t>
        </is>
      </c>
      <c r="E117" t="inlineStr">
        <is>
          <t>內案</t>
        </is>
      </c>
      <c r="F117" s="3" t="n">
        <v>1258917</v>
      </c>
      <c r="G117" s="3" t="n">
        <v>691083</v>
      </c>
      <c r="H117" s="3" t="n">
        <v>1950000</v>
      </c>
      <c r="I117" s="3" t="n">
        <v>0</v>
      </c>
      <c r="J117" s="3" t="n">
        <v>1950000</v>
      </c>
    </row>
    <row r="118">
      <c r="A118" t="inlineStr">
        <is>
          <t>累計2026/12</t>
        </is>
      </c>
      <c r="B118" t="inlineStr">
        <is>
          <t>C/92301</t>
        </is>
      </c>
      <c r="C118" t="inlineStr">
        <is>
          <t>CF670A BIM 土木機電</t>
        </is>
      </c>
      <c r="D118" t="inlineStr">
        <is>
          <t>內部</t>
        </is>
      </c>
      <c r="E118" t="inlineStr">
        <is>
          <t>內案</t>
        </is>
      </c>
      <c r="F118" s="3" t="n">
        <v>8433736</v>
      </c>
      <c r="G118" s="3" t="n">
        <v>968651</v>
      </c>
      <c r="H118" s="3" t="n">
        <v>9402387</v>
      </c>
      <c r="I118" s="3" t="n">
        <v>0</v>
      </c>
      <c r="J118" s="3" t="n">
        <v>11934000</v>
      </c>
    </row>
    <row r="119">
      <c r="A119" t="inlineStr">
        <is>
          <t>累計2026/12</t>
        </is>
      </c>
      <c r="B119" t="inlineStr">
        <is>
          <t>C/92302</t>
        </is>
      </c>
      <c r="C119" t="inlineStr">
        <is>
          <t>富邦忠孝懷生BIM機電</t>
        </is>
      </c>
      <c r="D119" t="inlineStr">
        <is>
          <t>內部</t>
        </is>
      </c>
      <c r="E119" t="inlineStr">
        <is>
          <t>內案</t>
        </is>
      </c>
      <c r="F119" s="3" t="n">
        <v>3646544</v>
      </c>
      <c r="G119" s="3" t="n">
        <v>-155810</v>
      </c>
      <c r="H119" s="3" t="n">
        <v>3490734</v>
      </c>
      <c r="I119" s="3" t="n">
        <v>-39693</v>
      </c>
      <c r="J119" s="3" t="n">
        <v>4380000</v>
      </c>
    </row>
    <row r="120">
      <c r="A120" t="inlineStr">
        <is>
          <t>累計2026/12</t>
        </is>
      </c>
      <c r="B120" t="inlineStr">
        <is>
          <t>C/92303</t>
        </is>
      </c>
      <c r="C120" t="inlineStr">
        <is>
          <t>信義兒福BIM機電</t>
        </is>
      </c>
      <c r="D120" t="inlineStr">
        <is>
          <t>外部</t>
        </is>
      </c>
      <c r="E120" t="inlineStr">
        <is>
          <t>外案</t>
        </is>
      </c>
      <c r="F120" s="3" t="n">
        <v>1262617</v>
      </c>
      <c r="G120" s="3" t="n">
        <v>305260</v>
      </c>
      <c r="H120" s="3" t="n">
        <v>1567877</v>
      </c>
      <c r="I120" s="3" t="n">
        <v>0</v>
      </c>
      <c r="J120" s="3" t="n">
        <v>867500</v>
      </c>
    </row>
    <row r="121">
      <c r="A121" t="inlineStr">
        <is>
          <t>累計2026/12</t>
        </is>
      </c>
      <c r="B121" t="inlineStr">
        <is>
          <t>C/92304</t>
        </is>
      </c>
      <c r="C121" t="inlineStr">
        <is>
          <t>捷運劍潭站TOD統包BIM機電</t>
        </is>
      </c>
      <c r="D121" t="inlineStr">
        <is>
          <t>內部</t>
        </is>
      </c>
      <c r="E121" t="inlineStr">
        <is>
          <t>內案</t>
        </is>
      </c>
      <c r="F121" s="3" t="n">
        <v>4889920</v>
      </c>
      <c r="G121" s="3" t="n">
        <v>526833</v>
      </c>
      <c r="H121" s="3" t="n">
        <v>5416753</v>
      </c>
      <c r="I121" s="3" t="n">
        <v>0</v>
      </c>
      <c r="J121" s="3" t="n">
        <v>5625000</v>
      </c>
    </row>
    <row r="122">
      <c r="A122" t="inlineStr">
        <is>
          <t>累計2026/12</t>
        </is>
      </c>
      <c r="B122" t="inlineStr">
        <is>
          <t>C/92401</t>
        </is>
      </c>
      <c r="C122" t="inlineStr">
        <is>
          <t>CJ17 土木機電</t>
        </is>
      </c>
      <c r="D122" t="inlineStr">
        <is>
          <t>內部</t>
        </is>
      </c>
      <c r="E122" t="inlineStr">
        <is>
          <t>內案</t>
        </is>
      </c>
      <c r="F122" s="3" t="n">
        <v>4076743</v>
      </c>
      <c r="G122" s="3" t="n">
        <v>1973709</v>
      </c>
      <c r="H122" s="3" t="n">
        <v>6050452</v>
      </c>
      <c r="I122" s="3" t="n">
        <v>0</v>
      </c>
      <c r="J122" s="3" t="n">
        <v>8613000</v>
      </c>
    </row>
    <row r="123">
      <c r="A123" t="inlineStr">
        <is>
          <t>累計2026/12</t>
        </is>
      </c>
      <c r="B123" t="inlineStr">
        <is>
          <t>C/92501</t>
        </is>
      </c>
      <c r="C123" t="inlineStr">
        <is>
          <t>CF670 BIM土木機電</t>
        </is>
      </c>
      <c r="D123" t="inlineStr">
        <is>
          <t>內部</t>
        </is>
      </c>
      <c r="E123" t="inlineStr">
        <is>
          <t>內案</t>
        </is>
      </c>
      <c r="F123" s="3" t="n">
        <v>3679769</v>
      </c>
      <c r="G123" s="3" t="n">
        <v>1757237</v>
      </c>
      <c r="H123" s="3" t="n">
        <v>5437006</v>
      </c>
      <c r="I123" s="3" t="n">
        <v>0</v>
      </c>
      <c r="J123" s="3" t="n">
        <v>5231250</v>
      </c>
    </row>
    <row r="124">
      <c r="A124" t="inlineStr">
        <is>
          <t>累計2026/12</t>
        </is>
      </c>
      <c r="B124" t="inlineStr">
        <is>
          <t>C/92502</t>
        </is>
      </c>
      <c r="C124" t="inlineStr">
        <is>
          <t>擎邦-聯發科機電</t>
        </is>
      </c>
      <c r="D124" t="inlineStr">
        <is>
          <t>外部</t>
        </is>
      </c>
      <c r="E124" t="inlineStr">
        <is>
          <t>外案</t>
        </is>
      </c>
      <c r="F124" s="3" t="n">
        <v>1790922</v>
      </c>
      <c r="G124" s="3" t="n">
        <v>1392710</v>
      </c>
      <c r="H124" s="3" t="n">
        <v>3183632</v>
      </c>
      <c r="I124" s="3" t="n">
        <v>0</v>
      </c>
      <c r="J124" s="3" t="n">
        <v>4190000</v>
      </c>
    </row>
    <row r="125">
      <c r="A125" t="inlineStr">
        <is>
          <t>累計2026/12</t>
        </is>
      </c>
      <c r="B125" t="inlineStr">
        <is>
          <t>C/92503</t>
        </is>
      </c>
      <c r="C125" t="inlineStr">
        <is>
          <t>CF690B BIM土木</t>
        </is>
      </c>
      <c r="D125" t="inlineStr">
        <is>
          <t>外部</t>
        </is>
      </c>
      <c r="E125" t="inlineStr">
        <is>
          <t>外案</t>
        </is>
      </c>
      <c r="F125" s="3" t="n">
        <v>439786</v>
      </c>
      <c r="G125" s="3" t="n">
        <v>183378</v>
      </c>
      <c r="H125" s="3" t="n">
        <v>623164</v>
      </c>
      <c r="I125" s="3" t="n">
        <v>0</v>
      </c>
      <c r="J125" s="3" t="n">
        <v>3420000</v>
      </c>
    </row>
    <row r="126">
      <c r="A126" t="inlineStr">
        <is>
          <t>累計2026/12</t>
        </is>
      </c>
      <c r="B126" t="inlineStr">
        <is>
          <t>C/92504</t>
        </is>
      </c>
      <c r="C126" t="inlineStr">
        <is>
          <t>擎邦-員榮總醫院BIM</t>
        </is>
      </c>
      <c r="D126" t="inlineStr">
        <is>
          <t>外部</t>
        </is>
      </c>
      <c r="E126" t="inlineStr">
        <is>
          <t>外案</t>
        </is>
      </c>
      <c r="F126" s="3" t="n">
        <v>2580780</v>
      </c>
      <c r="G126" s="3" t="n">
        <v>1266949</v>
      </c>
      <c r="H126" s="3" t="n">
        <v>3847729</v>
      </c>
      <c r="I126" s="3" t="n">
        <v>0</v>
      </c>
      <c r="J126" s="3" t="n">
        <v>2914000</v>
      </c>
    </row>
    <row r="127">
      <c r="A127" t="inlineStr">
        <is>
          <t>累計2026/12</t>
        </is>
      </c>
      <c r="B127" t="inlineStr">
        <is>
          <t>C/92601</t>
        </is>
      </c>
      <c r="C127" t="inlineStr">
        <is>
          <t>擎邦-聯發科銅鑼</t>
        </is>
      </c>
      <c r="D127" t="inlineStr">
        <is>
          <t>外部</t>
        </is>
      </c>
      <c r="E127" t="inlineStr">
        <is>
          <t>外案</t>
        </is>
      </c>
      <c r="F127" s="3" t="n">
        <v>575468</v>
      </c>
      <c r="G127" s="3" t="n">
        <v>754532</v>
      </c>
      <c r="H127" s="3" t="n">
        <v>1330000</v>
      </c>
      <c r="I127" s="3" t="n">
        <v>0</v>
      </c>
      <c r="J127" s="3" t="n">
        <v>1330000</v>
      </c>
    </row>
    <row r="128">
      <c r="A128" t="inlineStr">
        <is>
          <t>累計2026/12</t>
        </is>
      </c>
      <c r="B128" t="inlineStr">
        <is>
          <t>C/92602</t>
        </is>
      </c>
      <c r="C128" t="inlineStr">
        <is>
          <t>擎邦-CF624F機電(CF690B機電)</t>
        </is>
      </c>
      <c r="D128" t="inlineStr">
        <is>
          <t>外部</t>
        </is>
      </c>
      <c r="E128" t="inlineStr">
        <is>
          <t>外案</t>
        </is>
      </c>
      <c r="F128" s="3" t="n">
        <v>24110</v>
      </c>
      <c r="G128" s="3" t="n">
        <v>11250</v>
      </c>
      <c r="H128" s="3" t="n">
        <v>35360</v>
      </c>
      <c r="I128" s="3" t="n">
        <v>0</v>
      </c>
      <c r="J128" s="3" t="n">
        <v>2754000</v>
      </c>
    </row>
    <row r="129">
      <c r="A129" t="inlineStr">
        <is>
          <t>累計2026/12</t>
        </is>
      </c>
      <c r="B129" t="inlineStr">
        <is>
          <t>C/92603</t>
        </is>
      </c>
      <c r="C129" t="inlineStr">
        <is>
          <t>中華郵政信維機電</t>
        </is>
      </c>
      <c r="D129" t="inlineStr">
        <is>
          <t>內部</t>
        </is>
      </c>
      <c r="E129" t="inlineStr">
        <is>
          <t>內案</t>
        </is>
      </c>
      <c r="F129" s="3" t="n">
        <v>234083</v>
      </c>
      <c r="G129" s="3" t="n">
        <v>114926</v>
      </c>
      <c r="H129" s="3" t="n">
        <v>349009</v>
      </c>
      <c r="I129" s="3" t="n">
        <v>0</v>
      </c>
      <c r="J129" s="3" t="n">
        <v>0</v>
      </c>
    </row>
    <row r="130">
      <c r="A130" t="inlineStr">
        <is>
          <t>累計2026/12</t>
        </is>
      </c>
      <c r="B130" t="inlineStr">
        <is>
          <t>C/91001_26</t>
        </is>
      </c>
      <c r="C130" t="inlineStr">
        <is>
          <t>新取得BIM土木機電-26年</t>
        </is>
      </c>
      <c r="D130" t="inlineStr">
        <is>
          <t>內部</t>
        </is>
      </c>
      <c r="E130" t="inlineStr">
        <is>
          <t>內案</t>
        </is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</row>
    <row r="131">
      <c r="A131" t="inlineStr">
        <is>
          <t>累計2026/12</t>
        </is>
      </c>
      <c r="B131" t="inlineStr">
        <is>
          <t>C/91000_27</t>
        </is>
      </c>
      <c r="C131" t="inlineStr">
        <is>
          <t>新取得BIM土木機電-26年</t>
        </is>
      </c>
      <c r="D131" t="inlineStr">
        <is>
          <t>內部</t>
        </is>
      </c>
      <c r="E131" t="inlineStr">
        <is>
          <t>內案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t="inlineStr">
        <is>
          <t>累計2026/12</t>
        </is>
      </c>
      <c r="B132" t="inlineStr">
        <is>
          <t>C/91001_27</t>
        </is>
      </c>
      <c r="C132" t="inlineStr">
        <is>
          <t>新取得BIM土木機電-27年</t>
        </is>
      </c>
      <c r="D132" t="inlineStr">
        <is>
          <t>內部</t>
        </is>
      </c>
      <c r="E132" t="inlineStr">
        <is>
          <t>內案</t>
        </is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</row>
    <row r="133">
      <c r="A133" t="inlineStr">
        <is>
          <t>累計2026/12</t>
        </is>
      </c>
      <c r="B133" t="inlineStr">
        <is>
          <t>C/91002_27</t>
        </is>
      </c>
      <c r="C133" t="inlineStr">
        <is>
          <t>新取得BIM土木機電-28年</t>
        </is>
      </c>
      <c r="D133" t="inlineStr">
        <is>
          <t>內部</t>
        </is>
      </c>
      <c r="E133" t="inlineStr">
        <is>
          <t>內案</t>
        </is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</row>
    <row r="134">
      <c r="A134" t="inlineStr">
        <is>
          <t>累計2026/12</t>
        </is>
      </c>
      <c r="B134" t="inlineStr">
        <is>
          <t>C/91003_27</t>
        </is>
      </c>
      <c r="C134" t="inlineStr">
        <is>
          <t>新取得BIM土木機電-29年</t>
        </is>
      </c>
      <c r="D134" t="inlineStr">
        <is>
          <t>內部</t>
        </is>
      </c>
      <c r="E134" t="inlineStr">
        <is>
          <t>內案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t="inlineStr">
        <is>
          <t>累計2026/12</t>
        </is>
      </c>
      <c r="B135" t="inlineStr">
        <is>
          <t>C/91004_27</t>
        </is>
      </c>
      <c r="C135" t="inlineStr">
        <is>
          <t>新取得BIM土木機電-30年</t>
        </is>
      </c>
      <c r="D135" t="inlineStr">
        <is>
          <t>內部</t>
        </is>
      </c>
      <c r="E135" t="inlineStr">
        <is>
          <t>內案</t>
        </is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</row>
    <row r="136">
      <c r="A136" t="inlineStr">
        <is>
          <t>累計2026/12</t>
        </is>
      </c>
      <c r="B136" t="inlineStr">
        <is>
          <t>C/91005_27</t>
        </is>
      </c>
      <c r="C136" t="inlineStr">
        <is>
          <t>新取得BIM土木機電-31年</t>
        </is>
      </c>
      <c r="D136" t="inlineStr">
        <is>
          <t>內部</t>
        </is>
      </c>
      <c r="E136" t="inlineStr">
        <is>
          <t>內案</t>
        </is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</row>
    <row r="137">
      <c r="A137" t="inlineStr">
        <is>
          <t>累計2026/12</t>
        </is>
      </c>
      <c r="B137" t="inlineStr">
        <is>
          <t>C/9210F</t>
        </is>
      </c>
      <c r="C137" t="inlineStr">
        <is>
          <t>南港機廠BIM建築</t>
        </is>
      </c>
      <c r="D137" t="inlineStr">
        <is>
          <t>外部</t>
        </is>
      </c>
      <c r="E137" t="inlineStr">
        <is>
          <t>外案</t>
        </is>
      </c>
      <c r="F137" s="3" t="n">
        <v>7070420</v>
      </c>
      <c r="G137" s="3" t="n">
        <v>4041580</v>
      </c>
      <c r="H137" s="3" t="n">
        <v>11112000</v>
      </c>
      <c r="I137" s="3" t="n">
        <v>0</v>
      </c>
      <c r="J137" s="3" t="n">
        <v>11112000</v>
      </c>
    </row>
    <row r="138">
      <c r="A138" t="inlineStr">
        <is>
          <t>累計2026/12</t>
        </is>
      </c>
      <c r="B138" t="inlineStr">
        <is>
          <t>C/9210G</t>
        </is>
      </c>
      <c r="C138" t="inlineStr">
        <is>
          <t>富邦忠孝懷生BIM建築</t>
        </is>
      </c>
      <c r="D138" t="inlineStr">
        <is>
          <t>內部</t>
        </is>
      </c>
      <c r="E138" t="inlineStr">
        <is>
          <t>內案</t>
        </is>
      </c>
      <c r="F138" s="3" t="n">
        <v>8247547</v>
      </c>
      <c r="G138" s="3" t="n">
        <v>-779255</v>
      </c>
      <c r="H138" s="3" t="n">
        <v>7468292</v>
      </c>
      <c r="I138" s="3" t="n">
        <v>-36698</v>
      </c>
      <c r="J138" s="3" t="n">
        <v>7745000</v>
      </c>
    </row>
    <row r="139">
      <c r="A139" t="inlineStr">
        <is>
          <t>累計2026/12</t>
        </is>
      </c>
      <c r="B139" t="inlineStr">
        <is>
          <t>C/9220E</t>
        </is>
      </c>
      <c r="C139" t="inlineStr">
        <is>
          <t>柏鴻北士科 C/9100A-22A</t>
        </is>
      </c>
      <c r="D139" t="inlineStr">
        <is>
          <t>內部</t>
        </is>
      </c>
      <c r="E139" t="inlineStr">
        <is>
          <t>內案</t>
        </is>
      </c>
      <c r="F139" s="3" t="n">
        <v>2247649</v>
      </c>
      <c r="G139" s="3" t="n">
        <v>1541159</v>
      </c>
      <c r="H139" s="3" t="n">
        <v>3788808</v>
      </c>
      <c r="I139" s="3" t="n">
        <v>0</v>
      </c>
      <c r="J139" s="3" t="n">
        <v>4030000</v>
      </c>
    </row>
    <row r="140">
      <c r="A140" t="inlineStr">
        <is>
          <t>累計2026/12</t>
        </is>
      </c>
      <c r="B140" t="inlineStr">
        <is>
          <t>C/9230A</t>
        </is>
      </c>
      <c r="C140" t="inlineStr">
        <is>
          <t>信義兒福BIM建築</t>
        </is>
      </c>
      <c r="D140" t="inlineStr">
        <is>
          <t>外部</t>
        </is>
      </c>
      <c r="E140" t="inlineStr">
        <is>
          <t>外案</t>
        </is>
      </c>
      <c r="F140" s="3" t="n">
        <v>401479</v>
      </c>
      <c r="G140" s="3" t="n">
        <v>159423</v>
      </c>
      <c r="H140" s="3" t="n">
        <v>560902</v>
      </c>
      <c r="I140" s="3" t="n">
        <v>0</v>
      </c>
      <c r="J140" s="3" t="n">
        <v>867500</v>
      </c>
    </row>
    <row r="141">
      <c r="A141" t="inlineStr">
        <is>
          <t>累計2026/12</t>
        </is>
      </c>
      <c r="B141" t="inlineStr">
        <is>
          <t>C/9230B</t>
        </is>
      </c>
      <c r="C141" t="inlineStr">
        <is>
          <t>北捷劍潭TOD</t>
        </is>
      </c>
      <c r="D141" t="inlineStr">
        <is>
          <t>內部</t>
        </is>
      </c>
      <c r="E141" t="inlineStr">
        <is>
          <t>內案</t>
        </is>
      </c>
      <c r="F141" s="3" t="n">
        <v>9551477</v>
      </c>
      <c r="G141" s="3" t="n">
        <v>5288477</v>
      </c>
      <c r="H141" s="3" t="n">
        <v>14839954</v>
      </c>
      <c r="I141" s="3" t="n">
        <v>0</v>
      </c>
      <c r="J141" s="3" t="n">
        <v>16020000</v>
      </c>
    </row>
    <row r="142">
      <c r="A142" t="inlineStr">
        <is>
          <t>累計2026/12</t>
        </is>
      </c>
      <c r="B142" t="inlineStr">
        <is>
          <t>C/9230C</t>
        </is>
      </c>
      <c r="C142" t="inlineStr">
        <is>
          <t>慶城福華-23年</t>
        </is>
      </c>
      <c r="D142" t="inlineStr">
        <is>
          <t>內部</t>
        </is>
      </c>
      <c r="E142" t="inlineStr">
        <is>
          <t>內案</t>
        </is>
      </c>
      <c r="F142" s="3" t="n">
        <v>2926466</v>
      </c>
      <c r="G142" s="3" t="n">
        <v>1591266</v>
      </c>
      <c r="H142" s="3" t="n">
        <v>4517732</v>
      </c>
      <c r="I142" s="3" t="n">
        <v>0</v>
      </c>
      <c r="J142" s="3" t="n">
        <v>4940000</v>
      </c>
    </row>
    <row r="143">
      <c r="A143" t="inlineStr">
        <is>
          <t>累計2026/12</t>
        </is>
      </c>
      <c r="B143" t="inlineStr">
        <is>
          <t>C/9240A</t>
        </is>
      </c>
      <c r="C143" t="inlineStr">
        <is>
          <t>南港國際一</t>
        </is>
      </c>
      <c r="D143" t="inlineStr">
        <is>
          <t>內部</t>
        </is>
      </c>
      <c r="E143" t="inlineStr">
        <is>
          <t>內案</t>
        </is>
      </c>
      <c r="F143" s="3" t="n">
        <v>15322522</v>
      </c>
      <c r="G143" s="3" t="n">
        <v>13501376</v>
      </c>
      <c r="H143" s="3" t="n">
        <v>28823898</v>
      </c>
      <c r="I143" s="3" t="n">
        <v>0</v>
      </c>
      <c r="J143" s="3" t="n">
        <v>30685000</v>
      </c>
    </row>
    <row r="144">
      <c r="A144" t="inlineStr">
        <is>
          <t>累計2026/12</t>
        </is>
      </c>
      <c r="B144" t="inlineStr">
        <is>
          <t>C/9240B</t>
        </is>
      </c>
      <c r="C144" t="inlineStr">
        <is>
          <t xml:space="preserve">台中洲際BIM建築 </t>
        </is>
      </c>
      <c r="D144" t="inlineStr">
        <is>
          <t>內部</t>
        </is>
      </c>
      <c r="E144" t="inlineStr">
        <is>
          <t>內案</t>
        </is>
      </c>
      <c r="F144" s="3" t="n">
        <v>1681852</v>
      </c>
      <c r="G144" s="3" t="n">
        <v>518148</v>
      </c>
      <c r="H144" s="3" t="n">
        <v>2200000</v>
      </c>
      <c r="I144" s="3" t="n">
        <v>0</v>
      </c>
      <c r="J144" s="3" t="n">
        <v>2200000</v>
      </c>
    </row>
    <row r="145">
      <c r="A145" t="inlineStr">
        <is>
          <t>累計2026/12</t>
        </is>
      </c>
      <c r="B145" t="inlineStr">
        <is>
          <t>C/9240C</t>
        </is>
      </c>
      <c r="C145" t="inlineStr">
        <is>
          <t xml:space="preserve">大直金泰BIM建築 </t>
        </is>
      </c>
      <c r="D145" t="inlineStr">
        <is>
          <t>內部</t>
        </is>
      </c>
      <c r="E145" t="inlineStr">
        <is>
          <t>內案</t>
        </is>
      </c>
      <c r="F145" s="3" t="n">
        <v>2266711</v>
      </c>
      <c r="G145" s="3" t="n">
        <v>510071</v>
      </c>
      <c r="H145" s="3" t="n">
        <v>2776782</v>
      </c>
      <c r="I145" s="3" t="n">
        <v>0</v>
      </c>
      <c r="J145" s="3" t="n">
        <v>3125000</v>
      </c>
    </row>
    <row r="146">
      <c r="A146" t="inlineStr">
        <is>
          <t>累計2026/12</t>
        </is>
      </c>
      <c r="B146" t="inlineStr">
        <is>
          <t>C/9240D</t>
        </is>
      </c>
      <c r="C146" t="inlineStr">
        <is>
          <t xml:space="preserve">板橋新雅BIM建築 </t>
        </is>
      </c>
      <c r="D146" t="inlineStr">
        <is>
          <t>內部</t>
        </is>
      </c>
      <c r="E146" t="inlineStr">
        <is>
          <t>內案</t>
        </is>
      </c>
      <c r="F146" s="3" t="n">
        <v>899848</v>
      </c>
      <c r="G146" s="3" t="n">
        <v>788507</v>
      </c>
      <c r="H146" s="3" t="n">
        <v>1688355</v>
      </c>
      <c r="I146" s="3" t="n">
        <v>0</v>
      </c>
      <c r="J146" s="3" t="n">
        <v>2042000</v>
      </c>
    </row>
    <row r="147">
      <c r="A147" t="inlineStr">
        <is>
          <t>累計2026/12</t>
        </is>
      </c>
      <c r="B147" t="inlineStr">
        <is>
          <t>C/9240E</t>
        </is>
      </c>
      <c r="C147" t="inlineStr">
        <is>
          <t xml:space="preserve">板橋四維BIM建築 </t>
        </is>
      </c>
      <c r="D147" t="inlineStr">
        <is>
          <t>內部</t>
        </is>
      </c>
      <c r="E147" t="inlineStr">
        <is>
          <t>內案</t>
        </is>
      </c>
      <c r="F147" s="3" t="n">
        <v>1089400</v>
      </c>
      <c r="G147" s="3" t="n">
        <v>1112600</v>
      </c>
      <c r="H147" s="3" t="n">
        <v>2202000</v>
      </c>
      <c r="I147" s="3" t="n">
        <v>0</v>
      </c>
      <c r="J147" s="3" t="n">
        <v>2202000</v>
      </c>
    </row>
    <row r="148">
      <c r="A148" t="inlineStr">
        <is>
          <t>累計2026/12</t>
        </is>
      </c>
      <c r="B148" t="inlineStr">
        <is>
          <t>C/9240F</t>
        </is>
      </c>
      <c r="C148" t="inlineStr">
        <is>
          <t>台中新美齊</t>
        </is>
      </c>
      <c r="D148" t="inlineStr">
        <is>
          <t>內部</t>
        </is>
      </c>
      <c r="E148" t="inlineStr">
        <is>
          <t>內案</t>
        </is>
      </c>
      <c r="F148" s="3" t="n">
        <v>1746010</v>
      </c>
      <c r="G148" s="3" t="n">
        <v>1531054</v>
      </c>
      <c r="H148" s="3" t="n">
        <v>3277064</v>
      </c>
      <c r="I148" s="3" t="n">
        <v>0</v>
      </c>
      <c r="J148" s="3" t="n">
        <v>3365000</v>
      </c>
    </row>
    <row r="149">
      <c r="A149" t="inlineStr">
        <is>
          <t>累計2026/12</t>
        </is>
      </c>
      <c r="B149" t="inlineStr">
        <is>
          <t>C/9240G</t>
        </is>
      </c>
      <c r="C149" t="inlineStr">
        <is>
          <t>晨禎片片山閑</t>
        </is>
      </c>
      <c r="D149" t="inlineStr">
        <is>
          <t>外部</t>
        </is>
      </c>
      <c r="E149" t="inlineStr">
        <is>
          <t>外案</t>
        </is>
      </c>
      <c r="F149" s="3" t="n">
        <v>1250140</v>
      </c>
      <c r="G149" s="3" t="n">
        <v>1797480</v>
      </c>
      <c r="H149" s="3" t="n">
        <v>3047620</v>
      </c>
      <c r="I149" s="3" t="n">
        <v>0</v>
      </c>
      <c r="J149" s="3" t="n">
        <v>3047620</v>
      </c>
    </row>
    <row r="150">
      <c r="A150" t="inlineStr">
        <is>
          <t>累計2026/12</t>
        </is>
      </c>
      <c r="B150" t="inlineStr">
        <is>
          <t>C/9250A</t>
        </is>
      </c>
      <c r="C150" t="inlineStr">
        <is>
          <t>南機二區BIM服務</t>
        </is>
      </c>
      <c r="D150" t="inlineStr">
        <is>
          <t>內部</t>
        </is>
      </c>
      <c r="E150" t="inlineStr">
        <is>
          <t>內案</t>
        </is>
      </c>
      <c r="F150" s="3" t="n">
        <v>8813168</v>
      </c>
      <c r="G150" s="3" t="n">
        <v>2188746</v>
      </c>
      <c r="H150" s="3" t="n">
        <v>11001914</v>
      </c>
      <c r="I150" s="3" t="n">
        <v>0</v>
      </c>
      <c r="J150" s="3" t="n">
        <v>11564750</v>
      </c>
    </row>
    <row r="151">
      <c r="A151" t="inlineStr">
        <is>
          <t>累計2026/12</t>
        </is>
      </c>
      <c r="B151" t="inlineStr">
        <is>
          <t>C/9250B</t>
        </is>
      </c>
      <c r="C151" t="inlineStr">
        <is>
          <t>璞真南港總部</t>
        </is>
      </c>
      <c r="D151" t="inlineStr">
        <is>
          <t>內部</t>
        </is>
      </c>
      <c r="E151" t="inlineStr">
        <is>
          <t>內案</t>
        </is>
      </c>
      <c r="F151" s="3" t="n">
        <v>1097653</v>
      </c>
      <c r="G151" s="3" t="n">
        <v>547201</v>
      </c>
      <c r="H151" s="3" t="n">
        <v>1644854</v>
      </c>
      <c r="I151" s="3" t="n">
        <v>0</v>
      </c>
      <c r="J151" s="3" t="n">
        <v>1860000</v>
      </c>
    </row>
    <row r="152">
      <c r="A152" t="inlineStr">
        <is>
          <t>累計2026/12</t>
        </is>
      </c>
      <c r="B152" t="inlineStr">
        <is>
          <t>C/9250C</t>
        </is>
      </c>
      <c r="C152" t="inlineStr">
        <is>
          <t>築源南港</t>
        </is>
      </c>
      <c r="D152" t="inlineStr">
        <is>
          <t>內部</t>
        </is>
      </c>
      <c r="E152" t="inlineStr">
        <is>
          <t>內案</t>
        </is>
      </c>
      <c r="F152" s="3" t="n">
        <v>1494653</v>
      </c>
      <c r="G152" s="3" t="n">
        <v>698666</v>
      </c>
      <c r="H152" s="3" t="n">
        <v>2193319</v>
      </c>
      <c r="I152" s="3" t="n">
        <v>0</v>
      </c>
      <c r="J152" s="3" t="n">
        <v>2680000</v>
      </c>
    </row>
    <row r="153">
      <c r="A153" t="inlineStr">
        <is>
          <t>累計2026/12</t>
        </is>
      </c>
      <c r="B153" t="inlineStr">
        <is>
          <t>C/9250D</t>
        </is>
      </c>
      <c r="C153" t="inlineStr">
        <is>
          <t>南港三重</t>
        </is>
      </c>
      <c r="D153" t="inlineStr">
        <is>
          <t>內部</t>
        </is>
      </c>
      <c r="E153" t="inlineStr">
        <is>
          <t>內案</t>
        </is>
      </c>
      <c r="F153" s="3" t="n">
        <v>1142190</v>
      </c>
      <c r="G153" s="3" t="n">
        <v>520598</v>
      </c>
      <c r="H153" s="3" t="n">
        <v>1662788</v>
      </c>
      <c r="I153" s="3" t="n">
        <v>0</v>
      </c>
      <c r="J153" s="3" t="n">
        <v>2015000</v>
      </c>
    </row>
    <row r="154">
      <c r="A154" t="inlineStr">
        <is>
          <t>累計2026/12</t>
        </is>
      </c>
      <c r="B154" t="inlineStr">
        <is>
          <t>C/9260A</t>
        </is>
      </c>
      <c r="C154" t="inlineStr">
        <is>
          <t>台中楓溪</t>
        </is>
      </c>
      <c r="D154" t="inlineStr">
        <is>
          <t>內部</t>
        </is>
      </c>
      <c r="E154" t="inlineStr">
        <is>
          <t>內案</t>
        </is>
      </c>
      <c r="F154" s="3" t="n">
        <v>689760</v>
      </c>
      <c r="G154" s="3" t="n">
        <v>314233</v>
      </c>
      <c r="H154" s="3" t="n">
        <v>1003993</v>
      </c>
      <c r="I154" s="3" t="n">
        <v>0</v>
      </c>
      <c r="J154" s="3" t="n">
        <v>1014000</v>
      </c>
    </row>
    <row r="155">
      <c r="A155" t="inlineStr">
        <is>
          <t>累計2026/12</t>
        </is>
      </c>
      <c r="B155" t="inlineStr">
        <is>
          <t>C/9260B</t>
        </is>
      </c>
      <c r="C155" t="inlineStr">
        <is>
          <t>樺輝永鑄</t>
        </is>
      </c>
      <c r="D155" t="inlineStr">
        <is>
          <t>內部</t>
        </is>
      </c>
      <c r="E155" t="inlineStr">
        <is>
          <t>內案</t>
        </is>
      </c>
      <c r="F155" s="3" t="n">
        <v>568591</v>
      </c>
      <c r="G155" s="3" t="n">
        <v>110854</v>
      </c>
      <c r="H155" s="3" t="n">
        <v>679445</v>
      </c>
      <c r="I155" s="3" t="n">
        <v>0</v>
      </c>
      <c r="J155" s="3" t="n">
        <v>694000</v>
      </c>
    </row>
    <row r="156">
      <c r="A156" t="inlineStr">
        <is>
          <t>累計2026/12</t>
        </is>
      </c>
      <c r="B156" t="inlineStr">
        <is>
          <t>C/9260C</t>
        </is>
      </c>
      <c r="C156" t="inlineStr">
        <is>
          <t>中華郵政信維</t>
        </is>
      </c>
      <c r="D156" t="inlineStr">
        <is>
          <t>內部</t>
        </is>
      </c>
      <c r="E156" t="inlineStr">
        <is>
          <t>內案</t>
        </is>
      </c>
      <c r="F156" s="3" t="n">
        <v>635926</v>
      </c>
      <c r="G156" s="3" t="n">
        <v>274710</v>
      </c>
      <c r="H156" s="3" t="n">
        <v>910636</v>
      </c>
      <c r="I156" s="3" t="n">
        <v>0</v>
      </c>
      <c r="J156" s="3" t="n">
        <v>1195000</v>
      </c>
    </row>
    <row r="157">
      <c r="A157" t="inlineStr">
        <is>
          <t>累計2026/12</t>
        </is>
      </c>
      <c r="B157" t="inlineStr">
        <is>
          <t>C/9260D</t>
        </is>
      </c>
      <c r="C157" t="inlineStr">
        <is>
          <t>大安復興</t>
        </is>
      </c>
      <c r="D157" t="inlineStr">
        <is>
          <t>內部</t>
        </is>
      </c>
      <c r="E157" t="inlineStr">
        <is>
          <t>內案</t>
        </is>
      </c>
      <c r="F157" s="3" t="n">
        <v>276453</v>
      </c>
      <c r="G157" s="3" t="n">
        <v>109836</v>
      </c>
      <c r="H157" s="3" t="n">
        <v>386289</v>
      </c>
      <c r="I157" s="3" t="n">
        <v>0</v>
      </c>
      <c r="J157" s="3" t="n">
        <v>370000</v>
      </c>
    </row>
    <row r="158">
      <c r="A158" t="inlineStr">
        <is>
          <t>累計2026/12</t>
        </is>
      </c>
      <c r="B158" t="inlineStr">
        <is>
          <t>C/9100B_26</t>
        </is>
      </c>
      <c r="C158" t="inlineStr">
        <is>
          <t>新取得BIM建築-26年</t>
        </is>
      </c>
      <c r="D158" t="inlineStr">
        <is>
          <t>內部</t>
        </is>
      </c>
      <c r="E158" t="inlineStr">
        <is>
          <t>內案</t>
        </is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</row>
    <row r="159">
      <c r="A159" t="inlineStr">
        <is>
          <t>累計2026/12</t>
        </is>
      </c>
      <c r="B159" t="inlineStr">
        <is>
          <t>C/9100A_27</t>
        </is>
      </c>
      <c r="C159" t="inlineStr">
        <is>
          <t>新取得BIM建築-26年</t>
        </is>
      </c>
      <c r="D159" t="inlineStr">
        <is>
          <t>內部</t>
        </is>
      </c>
      <c r="E159" t="inlineStr">
        <is>
          <t>內案</t>
        </is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</row>
    <row r="160">
      <c r="A160" t="inlineStr">
        <is>
          <t>累計2026/12</t>
        </is>
      </c>
      <c r="B160" t="inlineStr">
        <is>
          <t>C/9100B_27</t>
        </is>
      </c>
      <c r="C160" t="inlineStr">
        <is>
          <t>新取得BIM建築-27年</t>
        </is>
      </c>
      <c r="D160" t="inlineStr">
        <is>
          <t>內部</t>
        </is>
      </c>
      <c r="E160" t="inlineStr">
        <is>
          <t>內案</t>
        </is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</row>
    <row r="161">
      <c r="A161" t="inlineStr">
        <is>
          <t>累計2026/12</t>
        </is>
      </c>
      <c r="B161" t="inlineStr">
        <is>
          <t>C/9100C_27</t>
        </is>
      </c>
      <c r="C161" t="inlineStr">
        <is>
          <t>新取得BIM建築-28年</t>
        </is>
      </c>
      <c r="D161" t="inlineStr">
        <is>
          <t>內部</t>
        </is>
      </c>
      <c r="E161" t="inlineStr">
        <is>
          <t>內案</t>
        </is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</row>
    <row r="162">
      <c r="A162" t="inlineStr">
        <is>
          <t>累計2026/12</t>
        </is>
      </c>
      <c r="B162" t="inlineStr">
        <is>
          <t>C/9100D_27</t>
        </is>
      </c>
      <c r="C162" t="inlineStr">
        <is>
          <t>新取得BIM建築-29年</t>
        </is>
      </c>
      <c r="D162" t="inlineStr">
        <is>
          <t>內部</t>
        </is>
      </c>
      <c r="E162" t="inlineStr">
        <is>
          <t>內案</t>
        </is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</row>
    <row r="163">
      <c r="A163" t="inlineStr">
        <is>
          <t>累計2026/12</t>
        </is>
      </c>
      <c r="B163" t="inlineStr">
        <is>
          <t>C/9100E_27</t>
        </is>
      </c>
      <c r="C163" t="inlineStr">
        <is>
          <t>新取得BIM建築-30年</t>
        </is>
      </c>
      <c r="D163" t="inlineStr">
        <is>
          <t>內部</t>
        </is>
      </c>
      <c r="E163" t="inlineStr">
        <is>
          <t>內案</t>
        </is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</row>
    <row r="164">
      <c r="A164" t="inlineStr">
        <is>
          <t>累計2026/12</t>
        </is>
      </c>
      <c r="B164" t="inlineStr">
        <is>
          <t>C/9100F_27</t>
        </is>
      </c>
      <c r="C164" t="inlineStr">
        <is>
          <t>新取得BIM建築-31年</t>
        </is>
      </c>
      <c r="D164" t="inlineStr">
        <is>
          <t>內部</t>
        </is>
      </c>
      <c r="E164" t="inlineStr">
        <is>
          <t>內案</t>
        </is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</row>
    <row r="165">
      <c r="A165" t="inlineStr">
        <is>
          <t>累計2026/12</t>
        </is>
      </c>
      <c r="B165" t="inlineStr">
        <is>
          <t>C/99992</t>
        </is>
      </c>
      <c r="C165" t="inlineStr">
        <is>
          <t>雜項BIM土木機電</t>
        </is>
      </c>
      <c r="D165" t="inlineStr">
        <is>
          <t>內/無</t>
        </is>
      </c>
      <c r="E165" t="inlineStr">
        <is>
          <t>雜項</t>
        </is>
      </c>
      <c r="F165" s="3" t="n">
        <v>845522</v>
      </c>
      <c r="G165" s="3" t="n">
        <v>-58022</v>
      </c>
      <c r="H165" s="3" t="n">
        <v>787500</v>
      </c>
      <c r="I165" s="3" t="n">
        <v>0</v>
      </c>
      <c r="J165" s="3" t="n">
        <v>1804200</v>
      </c>
    </row>
    <row r="166">
      <c r="A166" t="inlineStr">
        <is>
          <t>累計2026/12</t>
        </is>
      </c>
      <c r="B166" t="inlineStr">
        <is>
          <t>C/99992-1</t>
        </is>
      </c>
      <c r="C166" t="inlineStr">
        <is>
          <t>雜項BIM土木機電(外案收入)</t>
        </is>
      </c>
      <c r="D166" t="inlineStr">
        <is>
          <t>外部</t>
        </is>
      </c>
      <c r="E166" t="inlineStr">
        <is>
          <t>外案</t>
        </is>
      </c>
      <c r="F166" s="3" t="n">
        <v>39200</v>
      </c>
      <c r="G166" s="3" t="n">
        <v>13300</v>
      </c>
      <c r="H166" s="3" t="n">
        <v>52500</v>
      </c>
      <c r="I166" s="3" t="n">
        <v>0</v>
      </c>
      <c r="J166" s="3" t="n">
        <v>267500</v>
      </c>
    </row>
    <row r="167">
      <c r="A167" t="inlineStr">
        <is>
          <t>累計2026/12</t>
        </is>
      </c>
      <c r="B167" t="inlineStr">
        <is>
          <t>C/99993</t>
        </is>
      </c>
      <c r="C167" t="inlineStr">
        <is>
          <t>備標BIM土木機電</t>
        </is>
      </c>
      <c r="D167" t="inlineStr">
        <is>
          <t>備標</t>
        </is>
      </c>
      <c r="E167" t="inlineStr">
        <is>
          <t>備標</t>
        </is>
      </c>
      <c r="F167" s="3" t="n">
        <v>479490</v>
      </c>
      <c r="G167" s="3" t="n">
        <v>720510</v>
      </c>
      <c r="H167" s="3" t="n">
        <v>1200000</v>
      </c>
      <c r="I167" s="3" t="n">
        <v>0</v>
      </c>
      <c r="J167" s="3" t="n">
        <v>5190100</v>
      </c>
    </row>
    <row r="168">
      <c r="A168" t="inlineStr">
        <is>
          <t>累計2026/12</t>
        </is>
      </c>
      <c r="B168" t="inlineStr">
        <is>
          <t>C/9999B</t>
        </is>
      </c>
      <c r="C168" t="inlineStr">
        <is>
          <t>雜項BIM建築</t>
        </is>
      </c>
      <c r="D168" t="inlineStr">
        <is>
          <t>內/無</t>
        </is>
      </c>
      <c r="E168" t="inlineStr">
        <is>
          <t>雜項</t>
        </is>
      </c>
      <c r="F168" s="3" t="n">
        <v>365186</v>
      </c>
      <c r="G168" s="3" t="n">
        <v>114814</v>
      </c>
      <c r="H168" s="3" t="n">
        <v>480000</v>
      </c>
      <c r="I168" s="3" t="n">
        <v>0</v>
      </c>
      <c r="J168" s="3" t="n">
        <v>2110000</v>
      </c>
    </row>
    <row r="169">
      <c r="A169" t="inlineStr">
        <is>
          <t>累計2026/12</t>
        </is>
      </c>
      <c r="B169" t="inlineStr">
        <is>
          <t>C/9999D</t>
        </is>
      </c>
      <c r="C169" t="inlineStr">
        <is>
          <t>備標BIM建築</t>
        </is>
      </c>
      <c r="D169" t="inlineStr">
        <is>
          <t>備標</t>
        </is>
      </c>
      <c r="E169" t="inlineStr">
        <is>
          <t>備標</t>
        </is>
      </c>
      <c r="F169" s="3" t="n">
        <v>1534380</v>
      </c>
      <c r="G169" s="3" t="n">
        <v>-414380</v>
      </c>
      <c r="H169" s="3" t="n">
        <v>1120000</v>
      </c>
      <c r="I169" s="3" t="n">
        <v>0</v>
      </c>
      <c r="J169" s="3" t="n">
        <v>1840000</v>
      </c>
    </row>
    <row r="170">
      <c r="A170" t="inlineStr">
        <is>
          <t>2027/1</t>
        </is>
      </c>
      <c r="B170" t="inlineStr">
        <is>
          <t>C/92103</t>
        </is>
      </c>
      <c r="C170" t="inlineStr">
        <is>
          <t>CQ840 BIM</t>
        </is>
      </c>
      <c r="D170" t="inlineStr">
        <is>
          <t>內部</t>
        </is>
      </c>
      <c r="E170" t="inlineStr">
        <is>
          <t>內案</t>
        </is>
      </c>
      <c r="F170" s="3" t="n">
        <v>3574</v>
      </c>
      <c r="G170" s="3" t="n">
        <v>-608</v>
      </c>
      <c r="H170" s="3" t="n">
        <v>2966</v>
      </c>
      <c r="I170" s="3" t="n">
        <v>608</v>
      </c>
      <c r="J170" s="3" t="n">
        <v>0</v>
      </c>
    </row>
    <row r="171">
      <c r="A171" t="inlineStr">
        <is>
          <t>2027/1</t>
        </is>
      </c>
      <c r="B171" t="inlineStr">
        <is>
          <t>C/92202</t>
        </is>
      </c>
      <c r="C171" t="inlineStr">
        <is>
          <t>CF680C BIM</t>
        </is>
      </c>
      <c r="D171" t="inlineStr">
        <is>
          <t>內部</t>
        </is>
      </c>
      <c r="E171" t="inlineStr">
        <is>
          <t>內案</t>
        </is>
      </c>
      <c r="F171" s="3" t="n">
        <v>152401</v>
      </c>
      <c r="G171" s="3" t="n">
        <v>73287</v>
      </c>
      <c r="H171" s="3" t="n">
        <v>225688</v>
      </c>
      <c r="I171" s="3" t="n">
        <v>0</v>
      </c>
      <c r="J171" s="3" t="n">
        <v>0</v>
      </c>
    </row>
    <row r="172">
      <c r="A172" t="inlineStr">
        <is>
          <t>2027/1</t>
        </is>
      </c>
      <c r="B172" t="inlineStr">
        <is>
          <t>C/92203</t>
        </is>
      </c>
      <c r="C172" t="inlineStr">
        <is>
          <t>N－WH BIM</t>
        </is>
      </c>
      <c r="D172" t="inlineStr">
        <is>
          <t>內部</t>
        </is>
      </c>
      <c r="E172" t="inlineStr">
        <is>
          <t>內案</t>
        </is>
      </c>
      <c r="F172" s="3" t="n">
        <v>831206</v>
      </c>
      <c r="G172" s="3" t="n">
        <v>287227</v>
      </c>
      <c r="H172" s="3" t="n">
        <v>1118433</v>
      </c>
      <c r="I172" s="3" t="n">
        <v>0</v>
      </c>
      <c r="J172" s="3" t="n">
        <v>675000</v>
      </c>
    </row>
    <row r="173">
      <c r="A173" t="inlineStr">
        <is>
          <t>2027/1</t>
        </is>
      </c>
      <c r="B173" t="inlineStr">
        <is>
          <t>C/92204</t>
        </is>
      </c>
      <c r="C173" t="inlineStr">
        <is>
          <t>國揚吉林機電</t>
        </is>
      </c>
      <c r="D173" t="inlineStr">
        <is>
          <t>內部</t>
        </is>
      </c>
      <c r="E173" t="inlineStr">
        <is>
          <t>內案</t>
        </is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</row>
    <row r="174">
      <c r="A174" t="inlineStr">
        <is>
          <t>2027/1</t>
        </is>
      </c>
      <c r="B174" t="inlineStr">
        <is>
          <t>C/92301</t>
        </is>
      </c>
      <c r="C174" t="inlineStr">
        <is>
          <t>CF670A BIM 土木機電</t>
        </is>
      </c>
      <c r="D174" t="inlineStr">
        <is>
          <t>內部</t>
        </is>
      </c>
      <c r="E174" t="inlineStr">
        <is>
          <t>內案</t>
        </is>
      </c>
      <c r="F174" s="3" t="n">
        <v>69016</v>
      </c>
      <c r="G174" s="3" t="n">
        <v>7926</v>
      </c>
      <c r="H174" s="3" t="n">
        <v>76942</v>
      </c>
      <c r="I174" s="3" t="n">
        <v>0</v>
      </c>
      <c r="J174" s="3" t="n">
        <v>93000</v>
      </c>
    </row>
    <row r="175">
      <c r="A175" t="inlineStr">
        <is>
          <t>2027/1</t>
        </is>
      </c>
      <c r="B175" t="inlineStr">
        <is>
          <t>C/92302</t>
        </is>
      </c>
      <c r="C175" t="inlineStr">
        <is>
          <t>富邦忠孝懷生BIM機電</t>
        </is>
      </c>
      <c r="D175" t="inlineStr">
        <is>
          <t>內部</t>
        </is>
      </c>
      <c r="E175" t="inlineStr">
        <is>
          <t>內案</t>
        </is>
      </c>
      <c r="F175" s="3" t="n">
        <v>228712</v>
      </c>
      <c r="G175" s="3" t="n">
        <v>-9773</v>
      </c>
      <c r="H175" s="3" t="n">
        <v>218939</v>
      </c>
      <c r="I175" s="3" t="n">
        <v>9773</v>
      </c>
      <c r="J175" s="3" t="n">
        <v>0</v>
      </c>
    </row>
    <row r="176">
      <c r="A176" t="inlineStr">
        <is>
          <t>2027/1</t>
        </is>
      </c>
      <c r="B176" t="inlineStr">
        <is>
          <t>C/92303</t>
        </is>
      </c>
      <c r="C176" t="inlineStr">
        <is>
          <t>信義兒福BIM機電</t>
        </is>
      </c>
      <c r="D176" t="inlineStr">
        <is>
          <t>外部</t>
        </is>
      </c>
      <c r="E176" t="inlineStr">
        <is>
          <t>外案</t>
        </is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347000</v>
      </c>
    </row>
    <row r="177">
      <c r="A177" t="inlineStr">
        <is>
          <t>2027/1</t>
        </is>
      </c>
      <c r="B177" t="inlineStr">
        <is>
          <t>C/92304</t>
        </is>
      </c>
      <c r="C177" t="inlineStr">
        <is>
          <t>捷運劍潭站TOD統包BIM機電</t>
        </is>
      </c>
      <c r="D177" t="inlineStr">
        <is>
          <t>內部</t>
        </is>
      </c>
      <c r="E177" t="inlineStr">
        <is>
          <t>內案</t>
        </is>
      </c>
      <c r="F177" s="3" t="n">
        <v>119121</v>
      </c>
      <c r="G177" s="3" t="n">
        <v>12834</v>
      </c>
      <c r="H177" s="3" t="n">
        <v>131955</v>
      </c>
      <c r="I177" s="3" t="n">
        <v>0</v>
      </c>
      <c r="J177" s="3" t="n">
        <v>160000</v>
      </c>
    </row>
    <row r="178">
      <c r="A178" t="inlineStr">
        <is>
          <t>2027/1</t>
        </is>
      </c>
      <c r="B178" t="inlineStr">
        <is>
          <t>C/92401</t>
        </is>
      </c>
      <c r="C178" t="inlineStr">
        <is>
          <t>CJ17 土木機電</t>
        </is>
      </c>
      <c r="D178" t="inlineStr">
        <is>
          <t>內部</t>
        </is>
      </c>
      <c r="E178" t="inlineStr">
        <is>
          <t>內案</t>
        </is>
      </c>
      <c r="F178" s="3" t="n">
        <v>521676</v>
      </c>
      <c r="G178" s="3" t="n">
        <v>252564</v>
      </c>
      <c r="H178" s="3" t="n">
        <v>774240</v>
      </c>
      <c r="I178" s="3" t="n">
        <v>0</v>
      </c>
      <c r="J178" s="3" t="n">
        <v>431668</v>
      </c>
    </row>
    <row r="179">
      <c r="A179" t="inlineStr">
        <is>
          <t>2027/1</t>
        </is>
      </c>
      <c r="B179" t="inlineStr">
        <is>
          <t>C/92501</t>
        </is>
      </c>
      <c r="C179" t="inlineStr">
        <is>
          <t>CF670 BIM土木機電</t>
        </is>
      </c>
      <c r="D179" t="inlineStr">
        <is>
          <t>內部</t>
        </is>
      </c>
      <c r="E179" t="inlineStr">
        <is>
          <t>內案</t>
        </is>
      </c>
      <c r="F179" s="3" t="n">
        <v>420424</v>
      </c>
      <c r="G179" s="3" t="n">
        <v>200769</v>
      </c>
      <c r="H179" s="3" t="n">
        <v>621193</v>
      </c>
      <c r="I179" s="3" t="n">
        <v>0</v>
      </c>
      <c r="J179" s="3" t="n">
        <v>1740000</v>
      </c>
    </row>
    <row r="180">
      <c r="A180" t="inlineStr">
        <is>
          <t>2027/1</t>
        </is>
      </c>
      <c r="B180" t="inlineStr">
        <is>
          <t>C/92502</t>
        </is>
      </c>
      <c r="C180" t="inlineStr">
        <is>
          <t>擎邦-聯發科機電</t>
        </is>
      </c>
      <c r="D180" t="inlineStr">
        <is>
          <t>外部</t>
        </is>
      </c>
      <c r="E180" t="inlineStr">
        <is>
          <t>外案</t>
        </is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</row>
    <row r="181">
      <c r="A181" t="inlineStr">
        <is>
          <t>2027/1</t>
        </is>
      </c>
      <c r="B181" t="inlineStr">
        <is>
          <t>C/92503</t>
        </is>
      </c>
      <c r="C181" t="inlineStr">
        <is>
          <t>CF690B BIM土木</t>
        </is>
      </c>
      <c r="D181" t="inlineStr">
        <is>
          <t>外部</t>
        </is>
      </c>
      <c r="E181" t="inlineStr">
        <is>
          <t>外案</t>
        </is>
      </c>
      <c r="F181" s="3" t="n">
        <v>39236</v>
      </c>
      <c r="G181" s="3" t="n">
        <v>16360</v>
      </c>
      <c r="H181" s="3" t="n">
        <v>55596</v>
      </c>
      <c r="I181" s="3" t="n">
        <v>0</v>
      </c>
      <c r="J181" s="3" t="n">
        <v>0</v>
      </c>
    </row>
    <row r="182">
      <c r="A182" t="inlineStr">
        <is>
          <t>2027/1</t>
        </is>
      </c>
      <c r="B182" t="inlineStr">
        <is>
          <t>C/92504</t>
        </is>
      </c>
      <c r="C182" t="inlineStr">
        <is>
          <t>擎邦-員榮總醫院BIM</t>
        </is>
      </c>
      <c r="D182" t="inlineStr">
        <is>
          <t>外部</t>
        </is>
      </c>
      <c r="E182" t="inlineStr">
        <is>
          <t>外案</t>
        </is>
      </c>
      <c r="F182" s="3" t="n">
        <v>160813</v>
      </c>
      <c r="G182" s="3" t="n">
        <v>78945</v>
      </c>
      <c r="H182" s="3" t="n">
        <v>239758</v>
      </c>
      <c r="I182" s="3" t="n">
        <v>0</v>
      </c>
      <c r="J182" s="3" t="n">
        <v>658000</v>
      </c>
    </row>
    <row r="183">
      <c r="A183" t="inlineStr">
        <is>
          <t>2027/1</t>
        </is>
      </c>
      <c r="B183" t="inlineStr">
        <is>
          <t>C/92601</t>
        </is>
      </c>
      <c r="C183" t="inlineStr">
        <is>
          <t>擎邦-聯發科銅鑼</t>
        </is>
      </c>
      <c r="D183" t="inlineStr">
        <is>
          <t>外部</t>
        </is>
      </c>
      <c r="E183" t="inlineStr">
        <is>
          <t>外案</t>
        </is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</row>
    <row r="184">
      <c r="A184" t="inlineStr">
        <is>
          <t>2027/1</t>
        </is>
      </c>
      <c r="B184" t="inlineStr">
        <is>
          <t>C/92602</t>
        </is>
      </c>
      <c r="C184" t="inlineStr">
        <is>
          <t>擎邦-CF624F機電(CF690B機電)</t>
        </is>
      </c>
      <c r="D184" t="inlineStr">
        <is>
          <t>外部</t>
        </is>
      </c>
      <c r="E184" t="inlineStr">
        <is>
          <t>外案</t>
        </is>
      </c>
      <c r="F184" s="3" t="n">
        <v>238242</v>
      </c>
      <c r="G184" s="3" t="n">
        <v>111167</v>
      </c>
      <c r="H184" s="3" t="n">
        <v>349409</v>
      </c>
      <c r="I184" s="3" t="n">
        <v>0</v>
      </c>
      <c r="J184" s="3" t="n">
        <v>0</v>
      </c>
    </row>
    <row r="185">
      <c r="A185" t="inlineStr">
        <is>
          <t>2027/1</t>
        </is>
      </c>
      <c r="B185" t="inlineStr">
        <is>
          <t>C/92603</t>
        </is>
      </c>
      <c r="C185" t="inlineStr">
        <is>
          <t>中華郵政信維機電</t>
        </is>
      </c>
      <c r="D185" t="inlineStr">
        <is>
          <t>內部</t>
        </is>
      </c>
      <c r="E185" t="inlineStr">
        <is>
          <t>內案</t>
        </is>
      </c>
      <c r="F185" s="3" t="n">
        <v>119121</v>
      </c>
      <c r="G185" s="3" t="n">
        <v>58484</v>
      </c>
      <c r="H185" s="3" t="n">
        <v>177605</v>
      </c>
      <c r="I185" s="3" t="n">
        <v>0</v>
      </c>
      <c r="J185" s="3" t="n">
        <v>392000</v>
      </c>
    </row>
    <row r="186">
      <c r="A186" t="inlineStr">
        <is>
          <t>2027/1</t>
        </is>
      </c>
      <c r="B186" t="inlineStr">
        <is>
          <t>C/91001_26</t>
        </is>
      </c>
      <c r="C186" t="inlineStr">
        <is>
          <t>新取得BIM土木機電-26年</t>
        </is>
      </c>
      <c r="D186" t="inlineStr">
        <is>
          <t>內部</t>
        </is>
      </c>
      <c r="E186" t="inlineStr">
        <is>
          <t>內案</t>
        </is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</row>
    <row r="187">
      <c r="A187" t="inlineStr">
        <is>
          <t>2027/1</t>
        </is>
      </c>
      <c r="B187" t="inlineStr">
        <is>
          <t>C/91000_27</t>
        </is>
      </c>
      <c r="C187" t="inlineStr">
        <is>
          <t>新取得BIM土木機電-26年</t>
        </is>
      </c>
      <c r="D187" t="inlineStr">
        <is>
          <t>內部</t>
        </is>
      </c>
      <c r="E187" t="inlineStr">
        <is>
          <t>內案</t>
        </is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</row>
    <row r="188">
      <c r="A188" t="inlineStr">
        <is>
          <t>2027/1</t>
        </is>
      </c>
      <c r="B188" t="inlineStr">
        <is>
          <t>C/91001_27</t>
        </is>
      </c>
      <c r="C188" t="inlineStr">
        <is>
          <t>新取得BIM土木機電-27年</t>
        </is>
      </c>
      <c r="D188" t="inlineStr">
        <is>
          <t>內部</t>
        </is>
      </c>
      <c r="E188" t="inlineStr">
        <is>
          <t>內案</t>
        </is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</row>
    <row r="189">
      <c r="A189" t="inlineStr">
        <is>
          <t>2027/1</t>
        </is>
      </c>
      <c r="B189" t="inlineStr">
        <is>
          <t>C/91002_27</t>
        </is>
      </c>
      <c r="C189" t="inlineStr">
        <is>
          <t>新取得BIM土木機電-28年</t>
        </is>
      </c>
      <c r="D189" t="inlineStr">
        <is>
          <t>內部</t>
        </is>
      </c>
      <c r="E189" t="inlineStr">
        <is>
          <t>內案</t>
        </is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</row>
    <row r="190">
      <c r="A190" t="inlineStr">
        <is>
          <t>2027/1</t>
        </is>
      </c>
      <c r="B190" t="inlineStr">
        <is>
          <t>C/91003_27</t>
        </is>
      </c>
      <c r="C190" t="inlineStr">
        <is>
          <t>新取得BIM土木機電-29年</t>
        </is>
      </c>
      <c r="D190" t="inlineStr">
        <is>
          <t>內部</t>
        </is>
      </c>
      <c r="E190" t="inlineStr">
        <is>
          <t>內案</t>
        </is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</row>
    <row r="191">
      <c r="A191" t="inlineStr">
        <is>
          <t>2027/1</t>
        </is>
      </c>
      <c r="B191" t="inlineStr">
        <is>
          <t>C/91004_27</t>
        </is>
      </c>
      <c r="C191" t="inlineStr">
        <is>
          <t>新取得BIM土木機電-30年</t>
        </is>
      </c>
      <c r="D191" t="inlineStr">
        <is>
          <t>內部</t>
        </is>
      </c>
      <c r="E191" t="inlineStr">
        <is>
          <t>內案</t>
        </is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</row>
    <row r="192">
      <c r="A192" t="inlineStr">
        <is>
          <t>2027/1</t>
        </is>
      </c>
      <c r="B192" t="inlineStr">
        <is>
          <t>C/91005_27</t>
        </is>
      </c>
      <c r="C192" t="inlineStr">
        <is>
          <t>新取得BIM土木機電-31年</t>
        </is>
      </c>
      <c r="D192" t="inlineStr">
        <is>
          <t>內部</t>
        </is>
      </c>
      <c r="E192" t="inlineStr">
        <is>
          <t>內案</t>
        </is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</row>
    <row r="193">
      <c r="A193" t="inlineStr">
        <is>
          <t>2027/1</t>
        </is>
      </c>
      <c r="B193" t="inlineStr">
        <is>
          <t>C/9210F</t>
        </is>
      </c>
      <c r="C193" t="inlineStr">
        <is>
          <t>南港機廠BIM建築</t>
        </is>
      </c>
      <c r="D193" t="inlineStr">
        <is>
          <t>外部</t>
        </is>
      </c>
      <c r="E193" t="inlineStr">
        <is>
          <t>外案</t>
        </is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</row>
    <row r="194">
      <c r="A194" t="inlineStr">
        <is>
          <t>2027/1</t>
        </is>
      </c>
      <c r="B194" t="inlineStr">
        <is>
          <t>C/9210G</t>
        </is>
      </c>
      <c r="C194" t="inlineStr">
        <is>
          <t>富邦忠孝懷生BIM建築</t>
        </is>
      </c>
      <c r="D194" t="inlineStr">
        <is>
          <t>內部</t>
        </is>
      </c>
      <c r="E194" t="inlineStr">
        <is>
          <t>內案</t>
        </is>
      </c>
      <c r="F194" s="3" t="n">
        <v>108290</v>
      </c>
      <c r="G194" s="3" t="n">
        <v>-10232</v>
      </c>
      <c r="H194" s="3" t="n">
        <v>98058</v>
      </c>
      <c r="I194" s="3" t="n">
        <v>10232</v>
      </c>
      <c r="J194" s="3" t="n">
        <v>75000</v>
      </c>
    </row>
    <row r="195">
      <c r="A195" t="inlineStr">
        <is>
          <t>2027/1</t>
        </is>
      </c>
      <c r="B195" t="inlineStr">
        <is>
          <t>C/9220E</t>
        </is>
      </c>
      <c r="C195" t="inlineStr">
        <is>
          <t>柏鴻北士科 C/9100A-22A</t>
        </is>
      </c>
      <c r="D195" t="inlineStr">
        <is>
          <t>內部</t>
        </is>
      </c>
      <c r="E195" t="inlineStr">
        <is>
          <t>內案</t>
        </is>
      </c>
      <c r="F195" s="3" t="n">
        <v>30540</v>
      </c>
      <c r="G195" s="3" t="n">
        <v>20941</v>
      </c>
      <c r="H195" s="3" t="n">
        <v>51481</v>
      </c>
      <c r="I195" s="3" t="n">
        <v>0</v>
      </c>
      <c r="J195" s="3" t="n">
        <v>0</v>
      </c>
    </row>
    <row r="196">
      <c r="A196" t="inlineStr">
        <is>
          <t>2027/1</t>
        </is>
      </c>
      <c r="B196" t="inlineStr">
        <is>
          <t>C/9230A</t>
        </is>
      </c>
      <c r="C196" t="inlineStr">
        <is>
          <t>信義兒福BIM建築</t>
        </is>
      </c>
      <c r="D196" t="inlineStr">
        <is>
          <t>外部</t>
        </is>
      </c>
      <c r="E196" t="inlineStr">
        <is>
          <t>外案</t>
        </is>
      </c>
      <c r="F196" s="3" t="n">
        <v>110698</v>
      </c>
      <c r="G196" s="3" t="n">
        <v>43957</v>
      </c>
      <c r="H196" s="3" t="n">
        <v>154655</v>
      </c>
      <c r="I196" s="3" t="n">
        <v>0</v>
      </c>
      <c r="J196" s="3" t="n">
        <v>724500</v>
      </c>
    </row>
    <row r="197">
      <c r="A197" t="inlineStr">
        <is>
          <t>2027/1</t>
        </is>
      </c>
      <c r="B197" t="inlineStr">
        <is>
          <t>C/9230B</t>
        </is>
      </c>
      <c r="C197" t="inlineStr">
        <is>
          <t>北捷劍潭TOD</t>
        </is>
      </c>
      <c r="D197" t="inlineStr">
        <is>
          <t>內部</t>
        </is>
      </c>
      <c r="E197" t="inlineStr">
        <is>
          <t>內案</t>
        </is>
      </c>
      <c r="F197" s="3" t="n">
        <v>121213</v>
      </c>
      <c r="G197" s="3" t="n">
        <v>67114</v>
      </c>
      <c r="H197" s="3" t="n">
        <v>188327</v>
      </c>
      <c r="I197" s="3" t="n">
        <v>0</v>
      </c>
      <c r="J197" s="3" t="n">
        <v>300000</v>
      </c>
    </row>
    <row r="198">
      <c r="A198" t="inlineStr">
        <is>
          <t>2027/1</t>
        </is>
      </c>
      <c r="B198" t="inlineStr">
        <is>
          <t>C/9230C</t>
        </is>
      </c>
      <c r="C198" t="inlineStr">
        <is>
          <t>慶城福華-23年</t>
        </is>
      </c>
      <c r="D198" t="inlineStr">
        <is>
          <t>內部</t>
        </is>
      </c>
      <c r="E198" t="inlineStr">
        <is>
          <t>內案</t>
        </is>
      </c>
      <c r="F198" s="3" t="n">
        <v>1006</v>
      </c>
      <c r="G198" s="3" t="n">
        <v>547</v>
      </c>
      <c r="H198" s="3" t="n">
        <v>1553</v>
      </c>
      <c r="I198" s="3" t="n">
        <v>0</v>
      </c>
      <c r="J198" s="3" t="n">
        <v>0</v>
      </c>
    </row>
    <row r="199">
      <c r="A199" t="inlineStr">
        <is>
          <t>2027/1</t>
        </is>
      </c>
      <c r="B199" t="inlineStr">
        <is>
          <t>C/9240A</t>
        </is>
      </c>
      <c r="C199" t="inlineStr">
        <is>
          <t>南港國際一</t>
        </is>
      </c>
      <c r="D199" t="inlineStr">
        <is>
          <t>內部</t>
        </is>
      </c>
      <c r="E199" t="inlineStr">
        <is>
          <t>內案</t>
        </is>
      </c>
      <c r="F199" s="3" t="n">
        <v>322584</v>
      </c>
      <c r="G199" s="3" t="n">
        <v>284243</v>
      </c>
      <c r="H199" s="3" t="n">
        <v>606827</v>
      </c>
      <c r="I199" s="3" t="n">
        <v>0</v>
      </c>
      <c r="J199" s="3" t="n">
        <v>145000</v>
      </c>
    </row>
    <row r="200">
      <c r="A200" t="inlineStr">
        <is>
          <t>2027/1</t>
        </is>
      </c>
      <c r="B200" t="inlineStr">
        <is>
          <t>C/9240B</t>
        </is>
      </c>
      <c r="C200" t="inlineStr">
        <is>
          <t xml:space="preserve">台中洲際BIM建築 </t>
        </is>
      </c>
      <c r="D200" t="inlineStr">
        <is>
          <t>內部</t>
        </is>
      </c>
      <c r="E200" t="inlineStr">
        <is>
          <t>內案</t>
        </is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</row>
    <row r="201">
      <c r="A201" t="inlineStr">
        <is>
          <t>2027/1</t>
        </is>
      </c>
      <c r="B201" t="inlineStr">
        <is>
          <t>C/9240C</t>
        </is>
      </c>
      <c r="C201" t="inlineStr">
        <is>
          <t xml:space="preserve">大直金泰BIM建築 </t>
        </is>
      </c>
      <c r="D201" t="inlineStr">
        <is>
          <t>內部</t>
        </is>
      </c>
      <c r="E201" t="inlineStr">
        <is>
          <t>內案</t>
        </is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</row>
    <row r="202">
      <c r="A202" t="inlineStr">
        <is>
          <t>2027/1</t>
        </is>
      </c>
      <c r="B202" t="inlineStr">
        <is>
          <t>C/9240D</t>
        </is>
      </c>
      <c r="C202" t="inlineStr">
        <is>
          <t xml:space="preserve">板橋新雅BIM建築 </t>
        </is>
      </c>
      <c r="D202" t="inlineStr">
        <is>
          <t>內部</t>
        </is>
      </c>
      <c r="E202" t="inlineStr">
        <is>
          <t>內案</t>
        </is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</row>
    <row r="203">
      <c r="A203" t="inlineStr">
        <is>
          <t>2027/1</t>
        </is>
      </c>
      <c r="B203" t="inlineStr">
        <is>
          <t>C/9240E</t>
        </is>
      </c>
      <c r="C203" t="inlineStr">
        <is>
          <t xml:space="preserve">板橋四維BIM建築 </t>
        </is>
      </c>
      <c r="D203" t="inlineStr">
        <is>
          <t>內部</t>
        </is>
      </c>
      <c r="E203" t="inlineStr">
        <is>
          <t>內案</t>
        </is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</row>
    <row r="204">
      <c r="A204" t="inlineStr">
        <is>
          <t>2027/1</t>
        </is>
      </c>
      <c r="B204" t="inlineStr">
        <is>
          <t>C/9240F</t>
        </is>
      </c>
      <c r="C204" t="inlineStr">
        <is>
          <t>台中新美齊</t>
        </is>
      </c>
      <c r="D204" t="inlineStr">
        <is>
          <t>內部</t>
        </is>
      </c>
      <c r="E204" t="inlineStr">
        <is>
          <t>內案</t>
        </is>
      </c>
      <c r="F204" s="3" t="n">
        <v>1006</v>
      </c>
      <c r="G204" s="3" t="n">
        <v>882</v>
      </c>
      <c r="H204" s="3" t="n">
        <v>1888</v>
      </c>
      <c r="I204" s="3" t="n">
        <v>0</v>
      </c>
      <c r="J204" s="3" t="n">
        <v>0</v>
      </c>
    </row>
    <row r="205">
      <c r="A205" t="inlineStr">
        <is>
          <t>2027/1</t>
        </is>
      </c>
      <c r="B205" t="inlineStr">
        <is>
          <t>C/9240G</t>
        </is>
      </c>
      <c r="C205" t="inlineStr">
        <is>
          <t>晨禎片片山閑</t>
        </is>
      </c>
      <c r="D205" t="inlineStr">
        <is>
          <t>外部</t>
        </is>
      </c>
      <c r="E205" t="inlineStr">
        <is>
          <t>外案</t>
        </is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</row>
    <row r="206">
      <c r="A206" t="inlineStr">
        <is>
          <t>2027/1</t>
        </is>
      </c>
      <c r="B206" t="inlineStr">
        <is>
          <t>C/9250A</t>
        </is>
      </c>
      <c r="C206" t="inlineStr">
        <is>
          <t>南機二區BIM服務</t>
        </is>
      </c>
      <c r="D206" t="inlineStr">
        <is>
          <t>內部</t>
        </is>
      </c>
      <c r="E206" t="inlineStr">
        <is>
          <t>內案</t>
        </is>
      </c>
      <c r="F206" s="3" t="n">
        <v>304571</v>
      </c>
      <c r="G206" s="3" t="n">
        <v>75640</v>
      </c>
      <c r="H206" s="3" t="n">
        <v>380211</v>
      </c>
      <c r="I206" s="3" t="n">
        <v>0</v>
      </c>
      <c r="J206" s="3" t="n">
        <v>330000</v>
      </c>
    </row>
    <row r="207">
      <c r="A207" t="inlineStr">
        <is>
          <t>2027/1</t>
        </is>
      </c>
      <c r="B207" t="inlineStr">
        <is>
          <t>C/9250B</t>
        </is>
      </c>
      <c r="C207" t="inlineStr">
        <is>
          <t>璞真南港總部</t>
        </is>
      </c>
      <c r="D207" t="inlineStr">
        <is>
          <t>內部</t>
        </is>
      </c>
      <c r="E207" t="inlineStr">
        <is>
          <t>內案</t>
        </is>
      </c>
      <c r="F207" s="3" t="n">
        <v>1677</v>
      </c>
      <c r="G207" s="3" t="n">
        <v>836</v>
      </c>
      <c r="H207" s="3" t="n">
        <v>2513</v>
      </c>
      <c r="I207" s="3" t="n">
        <v>0</v>
      </c>
      <c r="J207" s="3" t="n">
        <v>0</v>
      </c>
    </row>
    <row r="208">
      <c r="A208" t="inlineStr">
        <is>
          <t>2027/1</t>
        </is>
      </c>
      <c r="B208" t="inlineStr">
        <is>
          <t>C/9250C</t>
        </is>
      </c>
      <c r="C208" t="inlineStr">
        <is>
          <t>築源南港</t>
        </is>
      </c>
      <c r="D208" t="inlineStr">
        <is>
          <t>內部</t>
        </is>
      </c>
      <c r="E208" t="inlineStr">
        <is>
          <t>內案</t>
        </is>
      </c>
      <c r="F208" s="3" t="n">
        <v>110363</v>
      </c>
      <c r="G208" s="3" t="n">
        <v>51589</v>
      </c>
      <c r="H208" s="3" t="n">
        <v>161952</v>
      </c>
      <c r="I208" s="3" t="n">
        <v>0</v>
      </c>
      <c r="J208" s="3" t="n">
        <v>160000</v>
      </c>
    </row>
    <row r="209">
      <c r="A209" t="inlineStr">
        <is>
          <t>2027/1</t>
        </is>
      </c>
      <c r="B209" t="inlineStr">
        <is>
          <t>C/9250D</t>
        </is>
      </c>
      <c r="C209" t="inlineStr">
        <is>
          <t>南港三重</t>
        </is>
      </c>
      <c r="D209" t="inlineStr">
        <is>
          <t>內部</t>
        </is>
      </c>
      <c r="E209" t="inlineStr">
        <is>
          <t>內案</t>
        </is>
      </c>
      <c r="F209" s="3" t="n">
        <v>70313</v>
      </c>
      <c r="G209" s="3" t="n">
        <v>32048</v>
      </c>
      <c r="H209" s="3" t="n">
        <v>102361</v>
      </c>
      <c r="I209" s="3" t="n">
        <v>0</v>
      </c>
      <c r="J209" s="3" t="n">
        <v>155000</v>
      </c>
    </row>
    <row r="210">
      <c r="A210" t="inlineStr">
        <is>
          <t>2027/1</t>
        </is>
      </c>
      <c r="B210" t="inlineStr">
        <is>
          <t>C/9260A</t>
        </is>
      </c>
      <c r="C210" t="inlineStr">
        <is>
          <t>台中楓溪</t>
        </is>
      </c>
      <c r="D210" t="inlineStr">
        <is>
          <t>內部</t>
        </is>
      </c>
      <c r="E210" t="inlineStr">
        <is>
          <t>內案</t>
        </is>
      </c>
      <c r="F210" s="3" t="n">
        <v>110698</v>
      </c>
      <c r="G210" s="3" t="n">
        <v>50430</v>
      </c>
      <c r="H210" s="3" t="n">
        <v>161128</v>
      </c>
      <c r="I210" s="3" t="n">
        <v>0</v>
      </c>
      <c r="J210" s="3" t="n">
        <v>160000</v>
      </c>
    </row>
    <row r="211">
      <c r="A211" t="inlineStr">
        <is>
          <t>2027/1</t>
        </is>
      </c>
      <c r="B211" t="inlineStr">
        <is>
          <t>C/9260B</t>
        </is>
      </c>
      <c r="C211" t="inlineStr">
        <is>
          <t>樺輝永鑄</t>
        </is>
      </c>
      <c r="D211" t="inlineStr">
        <is>
          <t>內部</t>
        </is>
      </c>
      <c r="E211" t="inlineStr">
        <is>
          <t>內案</t>
        </is>
      </c>
      <c r="F211" s="3" t="n">
        <v>110698</v>
      </c>
      <c r="G211" s="3" t="n">
        <v>21581</v>
      </c>
      <c r="H211" s="3" t="n">
        <v>132279</v>
      </c>
      <c r="I211" s="3" t="n">
        <v>0</v>
      </c>
      <c r="J211" s="3" t="n">
        <v>160000</v>
      </c>
    </row>
    <row r="212">
      <c r="A212" t="inlineStr">
        <is>
          <t>2027/1</t>
        </is>
      </c>
      <c r="B212" t="inlineStr">
        <is>
          <t>C/9260C</t>
        </is>
      </c>
      <c r="C212" t="inlineStr">
        <is>
          <t>中華郵政信維</t>
        </is>
      </c>
      <c r="D212" t="inlineStr">
        <is>
          <t>內部</t>
        </is>
      </c>
      <c r="E212" t="inlineStr">
        <is>
          <t>內案</t>
        </is>
      </c>
      <c r="F212" s="3" t="n">
        <v>111369</v>
      </c>
      <c r="G212" s="3" t="n">
        <v>48110</v>
      </c>
      <c r="H212" s="3" t="n">
        <v>159479</v>
      </c>
      <c r="I212" s="3" t="n">
        <v>0</v>
      </c>
      <c r="J212" s="3" t="n">
        <v>175000</v>
      </c>
    </row>
    <row r="213">
      <c r="A213" t="inlineStr">
        <is>
          <t>2027/1</t>
        </is>
      </c>
      <c r="B213" t="inlineStr">
        <is>
          <t>C/9260D</t>
        </is>
      </c>
      <c r="C213" t="inlineStr">
        <is>
          <t>大安復興</t>
        </is>
      </c>
      <c r="D213" t="inlineStr">
        <is>
          <t>內部</t>
        </is>
      </c>
      <c r="E213" t="inlineStr">
        <is>
          <t>內案</t>
        </is>
      </c>
      <c r="F213" s="3" t="n">
        <v>60469</v>
      </c>
      <c r="G213" s="3" t="n">
        <v>24025</v>
      </c>
      <c r="H213" s="3" t="n">
        <v>84494</v>
      </c>
      <c r="I213" s="3" t="n">
        <v>0</v>
      </c>
      <c r="J213" s="3" t="n">
        <v>85000</v>
      </c>
    </row>
    <row r="214">
      <c r="A214" t="inlineStr">
        <is>
          <t>2027/1</t>
        </is>
      </c>
      <c r="B214" t="inlineStr">
        <is>
          <t>C/9100B_26</t>
        </is>
      </c>
      <c r="C214" t="inlineStr">
        <is>
          <t>新取得BIM建築-26年</t>
        </is>
      </c>
      <c r="D214" t="inlineStr">
        <is>
          <t>內部</t>
        </is>
      </c>
      <c r="E214" t="inlineStr">
        <is>
          <t>內案</t>
        </is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</row>
    <row r="215">
      <c r="A215" t="inlineStr">
        <is>
          <t>2027/1</t>
        </is>
      </c>
      <c r="B215" t="inlineStr">
        <is>
          <t>C/9100A_27</t>
        </is>
      </c>
      <c r="C215" t="inlineStr">
        <is>
          <t>新取得BIM建築-26年</t>
        </is>
      </c>
      <c r="D215" t="inlineStr">
        <is>
          <t>內部</t>
        </is>
      </c>
      <c r="E215" t="inlineStr">
        <is>
          <t>內案</t>
        </is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</row>
    <row r="216">
      <c r="A216" t="inlineStr">
        <is>
          <t>2027/1</t>
        </is>
      </c>
      <c r="B216" t="inlineStr">
        <is>
          <t>C/9100B_27</t>
        </is>
      </c>
      <c r="C216" t="inlineStr">
        <is>
          <t>新取得BIM建築-27年</t>
        </is>
      </c>
      <c r="D216" t="inlineStr">
        <is>
          <t>內部</t>
        </is>
      </c>
      <c r="E216" t="inlineStr">
        <is>
          <t>內案</t>
        </is>
      </c>
      <c r="F216" s="3" t="n">
        <v>173514</v>
      </c>
      <c r="G216" s="3" t="n">
        <v>65677</v>
      </c>
      <c r="H216" s="3" t="n">
        <v>239191</v>
      </c>
      <c r="I216" s="3" t="n">
        <v>0</v>
      </c>
      <c r="J216" s="3" t="n">
        <v>398500</v>
      </c>
    </row>
    <row r="217">
      <c r="A217" t="inlineStr">
        <is>
          <t>2027/1</t>
        </is>
      </c>
      <c r="B217" t="inlineStr">
        <is>
          <t>C/9100C_27</t>
        </is>
      </c>
      <c r="C217" t="inlineStr">
        <is>
          <t>新取得BIM建築-28年</t>
        </is>
      </c>
      <c r="D217" t="inlineStr">
        <is>
          <t>內部</t>
        </is>
      </c>
      <c r="E217" t="inlineStr">
        <is>
          <t>內案</t>
        </is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</row>
    <row r="218">
      <c r="A218" t="inlineStr">
        <is>
          <t>2027/1</t>
        </is>
      </c>
      <c r="B218" t="inlineStr">
        <is>
          <t>C/9100D_27</t>
        </is>
      </c>
      <c r="C218" t="inlineStr">
        <is>
          <t>新取得BIM建築-29年</t>
        </is>
      </c>
      <c r="D218" t="inlineStr">
        <is>
          <t>內部</t>
        </is>
      </c>
      <c r="E218" t="inlineStr">
        <is>
          <t>內案</t>
        </is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</row>
    <row r="219">
      <c r="A219" t="inlineStr">
        <is>
          <t>2027/1</t>
        </is>
      </c>
      <c r="B219" t="inlineStr">
        <is>
          <t>C/9100E_27</t>
        </is>
      </c>
      <c r="C219" t="inlineStr">
        <is>
          <t>新取得BIM建築-30年</t>
        </is>
      </c>
      <c r="D219" t="inlineStr">
        <is>
          <t>內部</t>
        </is>
      </c>
      <c r="E219" t="inlineStr">
        <is>
          <t>內案</t>
        </is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</row>
    <row r="220">
      <c r="A220" t="inlineStr">
        <is>
          <t>2027/1</t>
        </is>
      </c>
      <c r="B220" t="inlineStr">
        <is>
          <t>C/9100F_27</t>
        </is>
      </c>
      <c r="C220" t="inlineStr">
        <is>
          <t>新取得BIM建築-31年</t>
        </is>
      </c>
      <c r="D220" t="inlineStr">
        <is>
          <t>內部</t>
        </is>
      </c>
      <c r="E220" t="inlineStr">
        <is>
          <t>內案</t>
        </is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</row>
    <row r="221">
      <c r="A221" t="inlineStr">
        <is>
          <t>2027/1</t>
        </is>
      </c>
      <c r="B221" t="inlineStr">
        <is>
          <t>C/99992</t>
        </is>
      </c>
      <c r="C221" t="inlineStr">
        <is>
          <t>雜項BIM土木機電</t>
        </is>
      </c>
      <c r="D221" t="inlineStr">
        <is>
          <t>內/無</t>
        </is>
      </c>
      <c r="E221" t="inlineStr">
        <is>
          <t>雜項</t>
        </is>
      </c>
      <c r="F221" s="3" t="n">
        <v>23824</v>
      </c>
      <c r="G221" s="3" t="n">
        <v>5676</v>
      </c>
      <c r="H221" s="3" t="n">
        <v>29500</v>
      </c>
      <c r="I221" s="3" t="n">
        <v>0</v>
      </c>
      <c r="J221" s="3" t="n">
        <v>29500</v>
      </c>
    </row>
    <row r="222">
      <c r="A222" t="inlineStr">
        <is>
          <t>2027/1</t>
        </is>
      </c>
      <c r="B222" t="inlineStr">
        <is>
          <t>C/99992-1</t>
        </is>
      </c>
      <c r="C222" t="inlineStr">
        <is>
          <t>雜項BIM土木機電(外案收入)</t>
        </is>
      </c>
      <c r="D222" t="inlineStr">
        <is>
          <t>外部</t>
        </is>
      </c>
      <c r="E222" t="inlineStr">
        <is>
          <t>外案</t>
        </is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</row>
    <row r="223">
      <c r="A223" t="inlineStr">
        <is>
          <t>2027/1</t>
        </is>
      </c>
      <c r="B223" t="inlineStr">
        <is>
          <t>C/99993</t>
        </is>
      </c>
      <c r="C223" t="inlineStr">
        <is>
          <t>備標BIM土木機電</t>
        </is>
      </c>
      <c r="D223" t="inlineStr">
        <is>
          <t>備標</t>
        </is>
      </c>
      <c r="E223" t="inlineStr">
        <is>
          <t>備標</t>
        </is>
      </c>
      <c r="F223" s="3" t="n">
        <v>59561</v>
      </c>
      <c r="G223" s="3" t="n">
        <v>-59561</v>
      </c>
      <c r="H223" s="3" t="n">
        <v>0</v>
      </c>
      <c r="I223" s="3" t="n">
        <v>0</v>
      </c>
      <c r="J223" s="3" t="n">
        <v>0</v>
      </c>
    </row>
    <row r="224">
      <c r="A224" t="inlineStr">
        <is>
          <t>2027/1</t>
        </is>
      </c>
      <c r="B224" t="inlineStr">
        <is>
          <t>C/9999B</t>
        </is>
      </c>
      <c r="C224" t="inlineStr">
        <is>
          <t>雜項BIM建築</t>
        </is>
      </c>
      <c r="D224" t="inlineStr">
        <is>
          <t>內/無</t>
        </is>
      </c>
      <c r="E224" t="inlineStr">
        <is>
          <t>雜項</t>
        </is>
      </c>
      <c r="F224" s="3" t="n">
        <v>219383</v>
      </c>
      <c r="G224" s="3" t="n">
        <v>-219383</v>
      </c>
      <c r="H224" s="3" t="n">
        <v>0</v>
      </c>
      <c r="I224" s="3" t="n">
        <v>0</v>
      </c>
      <c r="J224" s="3" t="n">
        <v>0</v>
      </c>
    </row>
    <row r="225">
      <c r="A225" t="inlineStr">
        <is>
          <t>2027/1</t>
        </is>
      </c>
      <c r="B225" t="inlineStr">
        <is>
          <t>C/9999D</t>
        </is>
      </c>
      <c r="C225" t="inlineStr">
        <is>
          <t>備標BIM建築</t>
        </is>
      </c>
      <c r="D225" t="inlineStr">
        <is>
          <t>備標</t>
        </is>
      </c>
      <c r="E225" t="inlineStr">
        <is>
          <t>備標</t>
        </is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</row>
    <row r="226">
      <c r="A226" t="inlineStr">
        <is>
          <t>2027/2</t>
        </is>
      </c>
      <c r="B226" t="inlineStr">
        <is>
          <t>C/92103</t>
        </is>
      </c>
      <c r="C226" t="inlineStr">
        <is>
          <t>CQ840 BIM</t>
        </is>
      </c>
      <c r="D226" t="inlineStr">
        <is>
          <t>內部</t>
        </is>
      </c>
      <c r="E226" t="inlineStr">
        <is>
          <t>內案</t>
        </is>
      </c>
      <c r="F226" s="3" t="n">
        <v>3574</v>
      </c>
      <c r="G226" s="3" t="n">
        <v>-607</v>
      </c>
      <c r="H226" s="3" t="n">
        <v>2967</v>
      </c>
      <c r="I226" s="3" t="n">
        <v>607</v>
      </c>
      <c r="J226" s="3" t="n">
        <v>0</v>
      </c>
    </row>
    <row r="227">
      <c r="A227" t="inlineStr">
        <is>
          <t>2027/2</t>
        </is>
      </c>
      <c r="B227" t="inlineStr">
        <is>
          <t>C/92202</t>
        </is>
      </c>
      <c r="C227" t="inlineStr">
        <is>
          <t>CF680C BIM</t>
        </is>
      </c>
      <c r="D227" t="inlineStr">
        <is>
          <t>內部</t>
        </is>
      </c>
      <c r="E227" t="inlineStr">
        <is>
          <t>內案</t>
        </is>
      </c>
      <c r="F227" s="3" t="n">
        <v>47575</v>
      </c>
      <c r="G227" s="3" t="n">
        <v>22878</v>
      </c>
      <c r="H227" s="3" t="n">
        <v>70453</v>
      </c>
      <c r="I227" s="3" t="n">
        <v>0</v>
      </c>
      <c r="J227" s="3" t="n">
        <v>240000</v>
      </c>
    </row>
    <row r="228">
      <c r="A228" t="inlineStr">
        <is>
          <t>2027/2</t>
        </is>
      </c>
      <c r="B228" t="inlineStr">
        <is>
          <t>C/92203</t>
        </is>
      </c>
      <c r="C228" t="inlineStr">
        <is>
          <t>N－WH BIM</t>
        </is>
      </c>
      <c r="D228" t="inlineStr">
        <is>
          <t>內部</t>
        </is>
      </c>
      <c r="E228" t="inlineStr">
        <is>
          <t>內案</t>
        </is>
      </c>
      <c r="F228" s="3" t="n">
        <v>26206</v>
      </c>
      <c r="G228" s="3" t="n">
        <v>9056</v>
      </c>
      <c r="H228" s="3" t="n">
        <v>35262</v>
      </c>
      <c r="I228" s="3" t="n">
        <v>0</v>
      </c>
      <c r="J228" s="3" t="n">
        <v>1136032</v>
      </c>
    </row>
    <row r="229">
      <c r="A229" t="inlineStr">
        <is>
          <t>2027/2</t>
        </is>
      </c>
      <c r="B229" t="inlineStr">
        <is>
          <t>C/92204</t>
        </is>
      </c>
      <c r="C229" t="inlineStr">
        <is>
          <t>國揚吉林機電</t>
        </is>
      </c>
      <c r="D229" t="inlineStr">
        <is>
          <t>內部</t>
        </is>
      </c>
      <c r="E229" t="inlineStr">
        <is>
          <t>內案</t>
        </is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</row>
    <row r="230">
      <c r="A230" t="inlineStr">
        <is>
          <t>2027/2</t>
        </is>
      </c>
      <c r="B230" t="inlineStr">
        <is>
          <t>C/92301</t>
        </is>
      </c>
      <c r="C230" t="inlineStr">
        <is>
          <t>CF670A BIM 土木機電</t>
        </is>
      </c>
      <c r="D230" t="inlineStr">
        <is>
          <t>內部</t>
        </is>
      </c>
      <c r="E230" t="inlineStr">
        <is>
          <t>內案</t>
        </is>
      </c>
      <c r="F230" s="3" t="n">
        <v>45192</v>
      </c>
      <c r="G230" s="3" t="n">
        <v>5191</v>
      </c>
      <c r="H230" s="3" t="n">
        <v>50383</v>
      </c>
      <c r="I230" s="3" t="n">
        <v>0</v>
      </c>
      <c r="J230" s="3" t="n">
        <v>30000</v>
      </c>
    </row>
    <row r="231">
      <c r="A231" t="inlineStr">
        <is>
          <t>2027/2</t>
        </is>
      </c>
      <c r="B231" t="inlineStr">
        <is>
          <t>C/92302</t>
        </is>
      </c>
      <c r="C231" t="inlineStr">
        <is>
          <t>富邦忠孝懷生BIM機電</t>
        </is>
      </c>
      <c r="D231" t="inlineStr">
        <is>
          <t>內部</t>
        </is>
      </c>
      <c r="E231" t="inlineStr">
        <is>
          <t>內案</t>
        </is>
      </c>
      <c r="F231" s="3" t="n">
        <v>123885</v>
      </c>
      <c r="G231" s="3" t="n">
        <v>-5293</v>
      </c>
      <c r="H231" s="3" t="n">
        <v>118592</v>
      </c>
      <c r="I231" s="3" t="n">
        <v>5293</v>
      </c>
      <c r="J231" s="3" t="n">
        <v>0</v>
      </c>
    </row>
    <row r="232">
      <c r="A232" t="inlineStr">
        <is>
          <t>2027/2</t>
        </is>
      </c>
      <c r="B232" t="inlineStr">
        <is>
          <t>C/92303</t>
        </is>
      </c>
      <c r="C232" t="inlineStr">
        <is>
          <t>信義兒福BIM機電</t>
        </is>
      </c>
      <c r="D232" t="inlineStr">
        <is>
          <t>外部</t>
        </is>
      </c>
      <c r="E232" t="inlineStr">
        <is>
          <t>外案</t>
        </is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</row>
    <row r="233">
      <c r="A233" t="inlineStr">
        <is>
          <t>2027/2</t>
        </is>
      </c>
      <c r="B233" t="inlineStr">
        <is>
          <t>C/92304</t>
        </is>
      </c>
      <c r="C233" t="inlineStr">
        <is>
          <t>捷運劍潭站TOD統包BIM機電</t>
        </is>
      </c>
      <c r="D233" t="inlineStr">
        <is>
          <t>內部</t>
        </is>
      </c>
      <c r="E233" t="inlineStr">
        <is>
          <t>內案</t>
        </is>
      </c>
      <c r="F233" s="3" t="n">
        <v>119121</v>
      </c>
      <c r="G233" s="3" t="n">
        <v>12834</v>
      </c>
      <c r="H233" s="3" t="n">
        <v>131955</v>
      </c>
      <c r="I233" s="3" t="n">
        <v>0</v>
      </c>
      <c r="J233" s="3" t="n">
        <v>160000</v>
      </c>
    </row>
    <row r="234">
      <c r="A234" t="inlineStr">
        <is>
          <t>2027/2</t>
        </is>
      </c>
      <c r="B234" t="inlineStr">
        <is>
          <t>C/92401</t>
        </is>
      </c>
      <c r="C234" t="inlineStr">
        <is>
          <t>CJ17 土木機電</t>
        </is>
      </c>
      <c r="D234" t="inlineStr">
        <is>
          <t>內部</t>
        </is>
      </c>
      <c r="E234" t="inlineStr">
        <is>
          <t>內案</t>
        </is>
      </c>
      <c r="F234" s="3" t="n">
        <v>539545</v>
      </c>
      <c r="G234" s="3" t="n">
        <v>261214</v>
      </c>
      <c r="H234" s="3" t="n">
        <v>800759</v>
      </c>
      <c r="I234" s="3" t="n">
        <v>0</v>
      </c>
      <c r="J234" s="3" t="n">
        <v>731668</v>
      </c>
    </row>
    <row r="235">
      <c r="A235" t="inlineStr">
        <is>
          <t>2027/2</t>
        </is>
      </c>
      <c r="B235" t="inlineStr">
        <is>
          <t>C/92501</t>
        </is>
      </c>
      <c r="C235" t="inlineStr">
        <is>
          <t>CF670 BIM土木機電</t>
        </is>
      </c>
      <c r="D235" t="inlineStr">
        <is>
          <t>內部</t>
        </is>
      </c>
      <c r="E235" t="inlineStr">
        <is>
          <t>內案</t>
        </is>
      </c>
      <c r="F235" s="3" t="n">
        <v>325127</v>
      </c>
      <c r="G235" s="3" t="n">
        <v>155262</v>
      </c>
      <c r="H235" s="3" t="n">
        <v>480389</v>
      </c>
      <c r="I235" s="3" t="n">
        <v>0</v>
      </c>
      <c r="J235" s="3" t="n">
        <v>393250</v>
      </c>
    </row>
    <row r="236">
      <c r="A236" t="inlineStr">
        <is>
          <t>2027/2</t>
        </is>
      </c>
      <c r="B236" t="inlineStr">
        <is>
          <t>C/92502</t>
        </is>
      </c>
      <c r="C236" t="inlineStr">
        <is>
          <t>擎邦-聯發科機電</t>
        </is>
      </c>
      <c r="D236" t="inlineStr">
        <is>
          <t>外部</t>
        </is>
      </c>
      <c r="E236" t="inlineStr">
        <is>
          <t>外案</t>
        </is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</row>
    <row r="237">
      <c r="A237" t="inlineStr">
        <is>
          <t>2027/2</t>
        </is>
      </c>
      <c r="B237" t="inlineStr">
        <is>
          <t>C/92503</t>
        </is>
      </c>
      <c r="C237" t="inlineStr">
        <is>
          <t>CF690B BIM土木</t>
        </is>
      </c>
      <c r="D237" t="inlineStr">
        <is>
          <t>外部</t>
        </is>
      </c>
      <c r="E237" t="inlineStr">
        <is>
          <t>外案</t>
        </is>
      </c>
      <c r="F237" s="3" t="n">
        <v>39236</v>
      </c>
      <c r="G237" s="3" t="n">
        <v>16360</v>
      </c>
      <c r="H237" s="3" t="n">
        <v>55596</v>
      </c>
      <c r="I237" s="3" t="n">
        <v>0</v>
      </c>
      <c r="J237" s="3" t="n">
        <v>0</v>
      </c>
    </row>
    <row r="238">
      <c r="A238" t="inlineStr">
        <is>
          <t>2027/2</t>
        </is>
      </c>
      <c r="B238" t="inlineStr">
        <is>
          <t>C/92504</t>
        </is>
      </c>
      <c r="C238" t="inlineStr">
        <is>
          <t>擎邦-員榮總醫院BIM</t>
        </is>
      </c>
      <c r="D238" t="inlineStr">
        <is>
          <t>外部</t>
        </is>
      </c>
      <c r="E238" t="inlineStr">
        <is>
          <t>外案</t>
        </is>
      </c>
      <c r="F238" s="3" t="n">
        <v>160813</v>
      </c>
      <c r="G238" s="3" t="n">
        <v>78946</v>
      </c>
      <c r="H238" s="3" t="n">
        <v>239759</v>
      </c>
      <c r="I238" s="3" t="n">
        <v>0</v>
      </c>
      <c r="J238" s="3" t="n">
        <v>0</v>
      </c>
    </row>
    <row r="239">
      <c r="A239" t="inlineStr">
        <is>
          <t>2027/2</t>
        </is>
      </c>
      <c r="B239" t="inlineStr">
        <is>
          <t>C/92601</t>
        </is>
      </c>
      <c r="C239" t="inlineStr">
        <is>
          <t>擎邦-聯發科銅鑼</t>
        </is>
      </c>
      <c r="D239" t="inlineStr">
        <is>
          <t>外部</t>
        </is>
      </c>
      <c r="E239" t="inlineStr">
        <is>
          <t>外案</t>
        </is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</row>
    <row r="240">
      <c r="A240" t="inlineStr">
        <is>
          <t>2027/2</t>
        </is>
      </c>
      <c r="B240" t="inlineStr">
        <is>
          <t>C/92602</t>
        </is>
      </c>
      <c r="C240" t="inlineStr">
        <is>
          <t>擎邦-CF624F機電(CF690B機電)</t>
        </is>
      </c>
      <c r="D240" t="inlineStr">
        <is>
          <t>外部</t>
        </is>
      </c>
      <c r="E240" t="inlineStr">
        <is>
          <t>外案</t>
        </is>
      </c>
      <c r="F240" s="3" t="n">
        <v>238242</v>
      </c>
      <c r="G240" s="3" t="n">
        <v>111167</v>
      </c>
      <c r="H240" s="3" t="n">
        <v>349409</v>
      </c>
      <c r="I240" s="3" t="n">
        <v>0</v>
      </c>
      <c r="J240" s="3" t="n">
        <v>0</v>
      </c>
    </row>
    <row r="241">
      <c r="A241" t="inlineStr">
        <is>
          <t>2027/2</t>
        </is>
      </c>
      <c r="B241" t="inlineStr">
        <is>
          <t>C/92603</t>
        </is>
      </c>
      <c r="C241" t="inlineStr">
        <is>
          <t>中華郵政信維機電</t>
        </is>
      </c>
      <c r="D241" t="inlineStr">
        <is>
          <t>內部</t>
        </is>
      </c>
      <c r="E241" t="inlineStr">
        <is>
          <t>內案</t>
        </is>
      </c>
      <c r="F241" s="3" t="n">
        <v>119121</v>
      </c>
      <c r="G241" s="3" t="n">
        <v>58484</v>
      </c>
      <c r="H241" s="3" t="n">
        <v>177605</v>
      </c>
      <c r="I241" s="3" t="n">
        <v>0</v>
      </c>
      <c r="J241" s="3" t="n">
        <v>392000</v>
      </c>
    </row>
    <row r="242">
      <c r="A242" t="inlineStr">
        <is>
          <t>2027/2</t>
        </is>
      </c>
      <c r="B242" t="inlineStr">
        <is>
          <t>C/91001_26</t>
        </is>
      </c>
      <c r="C242" t="inlineStr">
        <is>
          <t>新取得BIM土木機電-26年</t>
        </is>
      </c>
      <c r="D242" t="inlineStr">
        <is>
          <t>內部</t>
        </is>
      </c>
      <c r="E242" t="inlineStr">
        <is>
          <t>內案</t>
        </is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</row>
    <row r="243">
      <c r="A243" t="inlineStr">
        <is>
          <t>2027/2</t>
        </is>
      </c>
      <c r="B243" t="inlineStr">
        <is>
          <t>C/91000_27</t>
        </is>
      </c>
      <c r="C243" t="inlineStr">
        <is>
          <t>新取得BIM土木機電-26年</t>
        </is>
      </c>
      <c r="D243" t="inlineStr">
        <is>
          <t>內部</t>
        </is>
      </c>
      <c r="E243" t="inlineStr">
        <is>
          <t>內案</t>
        </is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</row>
    <row r="244">
      <c r="A244" t="inlineStr">
        <is>
          <t>2027/2</t>
        </is>
      </c>
      <c r="B244" t="inlineStr">
        <is>
          <t>C/91001_27</t>
        </is>
      </c>
      <c r="C244" t="inlineStr">
        <is>
          <t>新取得BIM土木機電-27年</t>
        </is>
      </c>
      <c r="D244" t="inlineStr">
        <is>
          <t>內部</t>
        </is>
      </c>
      <c r="E244" t="inlineStr">
        <is>
          <t>內案</t>
        </is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</row>
    <row r="245">
      <c r="A245" t="inlineStr">
        <is>
          <t>2027/2</t>
        </is>
      </c>
      <c r="B245" t="inlineStr">
        <is>
          <t>C/91002_27</t>
        </is>
      </c>
      <c r="C245" t="inlineStr">
        <is>
          <t>新取得BIM土木機電-28年</t>
        </is>
      </c>
      <c r="D245" t="inlineStr">
        <is>
          <t>內部</t>
        </is>
      </c>
      <c r="E245" t="inlineStr">
        <is>
          <t>內案</t>
        </is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</row>
    <row r="246">
      <c r="A246" t="inlineStr">
        <is>
          <t>2027/2</t>
        </is>
      </c>
      <c r="B246" t="inlineStr">
        <is>
          <t>C/91003_27</t>
        </is>
      </c>
      <c r="C246" t="inlineStr">
        <is>
          <t>新取得BIM土木機電-29年</t>
        </is>
      </c>
      <c r="D246" t="inlineStr">
        <is>
          <t>內部</t>
        </is>
      </c>
      <c r="E246" t="inlineStr">
        <is>
          <t>內案</t>
        </is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</row>
    <row r="247">
      <c r="A247" t="inlineStr">
        <is>
          <t>2027/2</t>
        </is>
      </c>
      <c r="B247" t="inlineStr">
        <is>
          <t>C/91004_27</t>
        </is>
      </c>
      <c r="C247" t="inlineStr">
        <is>
          <t>新取得BIM土木機電-30年</t>
        </is>
      </c>
      <c r="D247" t="inlineStr">
        <is>
          <t>內部</t>
        </is>
      </c>
      <c r="E247" t="inlineStr">
        <is>
          <t>內案</t>
        </is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</row>
    <row r="248">
      <c r="A248" t="inlineStr">
        <is>
          <t>2027/2</t>
        </is>
      </c>
      <c r="B248" t="inlineStr">
        <is>
          <t>C/91005_27</t>
        </is>
      </c>
      <c r="C248" t="inlineStr">
        <is>
          <t>新取得BIM土木機電-31年</t>
        </is>
      </c>
      <c r="D248" t="inlineStr">
        <is>
          <t>內部</t>
        </is>
      </c>
      <c r="E248" t="inlineStr">
        <is>
          <t>內案</t>
        </is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</row>
    <row r="249">
      <c r="A249" t="inlineStr">
        <is>
          <t>2027/2</t>
        </is>
      </c>
      <c r="B249" t="inlineStr">
        <is>
          <t>C/9210F</t>
        </is>
      </c>
      <c r="C249" t="inlineStr">
        <is>
          <t>南港機廠BIM建築</t>
        </is>
      </c>
      <c r="D249" t="inlineStr">
        <is>
          <t>外部</t>
        </is>
      </c>
      <c r="E249" t="inlineStr">
        <is>
          <t>外案</t>
        </is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</row>
    <row r="250">
      <c r="A250" t="inlineStr">
        <is>
          <t>2027/2</t>
        </is>
      </c>
      <c r="B250" t="inlineStr">
        <is>
          <t>C/9210G</t>
        </is>
      </c>
      <c r="C250" t="inlineStr">
        <is>
          <t>富邦忠孝懷生BIM建築</t>
        </is>
      </c>
      <c r="D250" t="inlineStr">
        <is>
          <t>內部</t>
        </is>
      </c>
      <c r="E250" t="inlineStr">
        <is>
          <t>內案</t>
        </is>
      </c>
      <c r="F250" s="3" t="n">
        <v>23627</v>
      </c>
      <c r="G250" s="3" t="n">
        <v>-2232</v>
      </c>
      <c r="H250" s="3" t="n">
        <v>21395</v>
      </c>
      <c r="I250" s="3" t="n">
        <v>2232</v>
      </c>
      <c r="J250" s="3" t="n">
        <v>0</v>
      </c>
    </row>
    <row r="251">
      <c r="A251" t="inlineStr">
        <is>
          <t>2027/2</t>
        </is>
      </c>
      <c r="B251" t="inlineStr">
        <is>
          <t>C/9220E</t>
        </is>
      </c>
      <c r="C251" t="inlineStr">
        <is>
          <t>柏鴻北士科 C/9100A-22A</t>
        </is>
      </c>
      <c r="D251" t="inlineStr">
        <is>
          <t>內部</t>
        </is>
      </c>
      <c r="E251" t="inlineStr">
        <is>
          <t>內案</t>
        </is>
      </c>
      <c r="F251" s="3" t="n">
        <v>16757</v>
      </c>
      <c r="G251" s="3" t="n">
        <v>11490</v>
      </c>
      <c r="H251" s="3" t="n">
        <v>28247</v>
      </c>
      <c r="I251" s="3" t="n">
        <v>0</v>
      </c>
      <c r="J251" s="3" t="n">
        <v>0</v>
      </c>
    </row>
    <row r="252">
      <c r="A252" t="inlineStr">
        <is>
          <t>2027/2</t>
        </is>
      </c>
      <c r="B252" t="inlineStr">
        <is>
          <t>C/9230A</t>
        </is>
      </c>
      <c r="C252" t="inlineStr">
        <is>
          <t>信義兒福BIM建築</t>
        </is>
      </c>
      <c r="D252" t="inlineStr">
        <is>
          <t>外部</t>
        </is>
      </c>
      <c r="E252" t="inlineStr">
        <is>
          <t>外案</t>
        </is>
      </c>
      <c r="F252" s="3" t="n">
        <v>78471</v>
      </c>
      <c r="G252" s="3" t="n">
        <v>31161</v>
      </c>
      <c r="H252" s="3" t="n">
        <v>109632</v>
      </c>
      <c r="I252" s="3" t="n">
        <v>0</v>
      </c>
      <c r="J252" s="3" t="n">
        <v>0</v>
      </c>
    </row>
    <row r="253">
      <c r="A253" t="inlineStr">
        <is>
          <t>2027/2</t>
        </is>
      </c>
      <c r="B253" t="inlineStr">
        <is>
          <t>C/9230B</t>
        </is>
      </c>
      <c r="C253" t="inlineStr">
        <is>
          <t>北捷劍潭TOD</t>
        </is>
      </c>
      <c r="D253" t="inlineStr">
        <is>
          <t>內部</t>
        </is>
      </c>
      <c r="E253" t="inlineStr">
        <is>
          <t>內案</t>
        </is>
      </c>
      <c r="F253" s="3" t="n">
        <v>79142</v>
      </c>
      <c r="G253" s="3" t="n">
        <v>43819</v>
      </c>
      <c r="H253" s="3" t="n">
        <v>122961</v>
      </c>
      <c r="I253" s="3" t="n">
        <v>0</v>
      </c>
      <c r="J253" s="3" t="n">
        <v>300000</v>
      </c>
    </row>
    <row r="254">
      <c r="A254" t="inlineStr">
        <is>
          <t>2027/2</t>
        </is>
      </c>
      <c r="B254" t="inlineStr">
        <is>
          <t>C/9230C</t>
        </is>
      </c>
      <c r="C254" t="inlineStr">
        <is>
          <t>慶城福華-23年</t>
        </is>
      </c>
      <c r="D254" t="inlineStr">
        <is>
          <t>內部</t>
        </is>
      </c>
      <c r="E254" t="inlineStr">
        <is>
          <t>內案</t>
        </is>
      </c>
      <c r="F254" s="3" t="n">
        <v>1006</v>
      </c>
      <c r="G254" s="3" t="n">
        <v>547</v>
      </c>
      <c r="H254" s="3" t="n">
        <v>1553</v>
      </c>
      <c r="I254" s="3" t="n">
        <v>0</v>
      </c>
      <c r="J254" s="3" t="n">
        <v>0</v>
      </c>
    </row>
    <row r="255">
      <c r="A255" t="inlineStr">
        <is>
          <t>2027/2</t>
        </is>
      </c>
      <c r="B255" t="inlineStr">
        <is>
          <t>C/9240A</t>
        </is>
      </c>
      <c r="C255" t="inlineStr">
        <is>
          <t>南港國際一</t>
        </is>
      </c>
      <c r="D255" t="inlineStr">
        <is>
          <t>內部</t>
        </is>
      </c>
      <c r="E255" t="inlineStr">
        <is>
          <t>內案</t>
        </is>
      </c>
      <c r="F255" s="3" t="n">
        <v>150407</v>
      </c>
      <c r="G255" s="3" t="n">
        <v>132531</v>
      </c>
      <c r="H255" s="3" t="n">
        <v>282938</v>
      </c>
      <c r="I255" s="3" t="n">
        <v>0</v>
      </c>
      <c r="J255" s="3" t="n">
        <v>35999.99999999994</v>
      </c>
    </row>
    <row r="256">
      <c r="A256" t="inlineStr">
        <is>
          <t>2027/2</t>
        </is>
      </c>
      <c r="B256" t="inlineStr">
        <is>
          <t>C/9240B</t>
        </is>
      </c>
      <c r="C256" t="inlineStr">
        <is>
          <t xml:space="preserve">台中洲際BIM建築 </t>
        </is>
      </c>
      <c r="D256" t="inlineStr">
        <is>
          <t>內部</t>
        </is>
      </c>
      <c r="E256" t="inlineStr">
        <is>
          <t>內案</t>
        </is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</row>
    <row r="257">
      <c r="A257" t="inlineStr">
        <is>
          <t>2027/2</t>
        </is>
      </c>
      <c r="B257" t="inlineStr">
        <is>
          <t>C/9240C</t>
        </is>
      </c>
      <c r="C257" t="inlineStr">
        <is>
          <t xml:space="preserve">大直金泰BIM建築 </t>
        </is>
      </c>
      <c r="D257" t="inlineStr">
        <is>
          <t>內部</t>
        </is>
      </c>
      <c r="E257" t="inlineStr">
        <is>
          <t>內案</t>
        </is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</row>
    <row r="258">
      <c r="A258" t="inlineStr">
        <is>
          <t>2027/2</t>
        </is>
      </c>
      <c r="B258" t="inlineStr">
        <is>
          <t>C/9240D</t>
        </is>
      </c>
      <c r="C258" t="inlineStr">
        <is>
          <t xml:space="preserve">板橋新雅BIM建築 </t>
        </is>
      </c>
      <c r="D258" t="inlineStr">
        <is>
          <t>內部</t>
        </is>
      </c>
      <c r="E258" t="inlineStr">
        <is>
          <t>內案</t>
        </is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</row>
    <row r="259">
      <c r="A259" t="inlineStr">
        <is>
          <t>2027/2</t>
        </is>
      </c>
      <c r="B259" t="inlineStr">
        <is>
          <t>C/9240E</t>
        </is>
      </c>
      <c r="C259" t="inlineStr">
        <is>
          <t xml:space="preserve">板橋四維BIM建築 </t>
        </is>
      </c>
      <c r="D259" t="inlineStr">
        <is>
          <t>內部</t>
        </is>
      </c>
      <c r="E259" t="inlineStr">
        <is>
          <t>內案</t>
        </is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</row>
    <row r="260">
      <c r="A260" t="inlineStr">
        <is>
          <t>2027/2</t>
        </is>
      </c>
      <c r="B260" t="inlineStr">
        <is>
          <t>C/9240F</t>
        </is>
      </c>
      <c r="C260" t="inlineStr">
        <is>
          <t>台中新美齊</t>
        </is>
      </c>
      <c r="D260" t="inlineStr">
        <is>
          <t>內部</t>
        </is>
      </c>
      <c r="E260" t="inlineStr">
        <is>
          <t>內案</t>
        </is>
      </c>
      <c r="F260" s="3" t="n">
        <v>1006</v>
      </c>
      <c r="G260" s="3" t="n">
        <v>882</v>
      </c>
      <c r="H260" s="3" t="n">
        <v>1888</v>
      </c>
      <c r="I260" s="3" t="n">
        <v>0</v>
      </c>
      <c r="J260" s="3" t="n">
        <v>0</v>
      </c>
    </row>
    <row r="261">
      <c r="A261" t="inlineStr">
        <is>
          <t>2027/2</t>
        </is>
      </c>
      <c r="B261" t="inlineStr">
        <is>
          <t>C/9240G</t>
        </is>
      </c>
      <c r="C261" t="inlineStr">
        <is>
          <t>晨禎片片山閑</t>
        </is>
      </c>
      <c r="D261" t="inlineStr">
        <is>
          <t>外部</t>
        </is>
      </c>
      <c r="E261" t="inlineStr">
        <is>
          <t>外案</t>
        </is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</row>
    <row r="262">
      <c r="A262" t="inlineStr">
        <is>
          <t>2027/2</t>
        </is>
      </c>
      <c r="B262" t="inlineStr">
        <is>
          <t>C/9250A</t>
        </is>
      </c>
      <c r="C262" t="inlineStr">
        <is>
          <t>南機二區BIM服務</t>
        </is>
      </c>
      <c r="D262" t="inlineStr">
        <is>
          <t>內部</t>
        </is>
      </c>
      <c r="E262" t="inlineStr">
        <is>
          <t>內案</t>
        </is>
      </c>
      <c r="F262" s="3" t="n">
        <v>199332</v>
      </c>
      <c r="G262" s="3" t="n">
        <v>49504</v>
      </c>
      <c r="H262" s="3" t="n">
        <v>248836</v>
      </c>
      <c r="I262" s="3" t="n">
        <v>0</v>
      </c>
      <c r="J262" s="3" t="n">
        <v>510000</v>
      </c>
    </row>
    <row r="263">
      <c r="A263" t="inlineStr">
        <is>
          <t>2027/2</t>
        </is>
      </c>
      <c r="B263" t="inlineStr">
        <is>
          <t>C/9250B</t>
        </is>
      </c>
      <c r="C263" t="inlineStr">
        <is>
          <t>璞真南港總部</t>
        </is>
      </c>
      <c r="D263" t="inlineStr">
        <is>
          <t>內部</t>
        </is>
      </c>
      <c r="E263" t="inlineStr">
        <is>
          <t>內案</t>
        </is>
      </c>
      <c r="F263" s="3" t="n">
        <v>1677</v>
      </c>
      <c r="G263" s="3" t="n">
        <v>836</v>
      </c>
      <c r="H263" s="3" t="n">
        <v>2513</v>
      </c>
      <c r="I263" s="3" t="n">
        <v>0</v>
      </c>
      <c r="J263" s="3" t="n">
        <v>0</v>
      </c>
    </row>
    <row r="264">
      <c r="A264" t="inlineStr">
        <is>
          <t>2027/2</t>
        </is>
      </c>
      <c r="B264" t="inlineStr">
        <is>
          <t>C/9250C</t>
        </is>
      </c>
      <c r="C264" t="inlineStr">
        <is>
          <t>築源南港</t>
        </is>
      </c>
      <c r="D264" t="inlineStr">
        <is>
          <t>內部</t>
        </is>
      </c>
      <c r="E264" t="inlineStr">
        <is>
          <t>內案</t>
        </is>
      </c>
      <c r="F264" s="3" t="n">
        <v>62385</v>
      </c>
      <c r="G264" s="3" t="n">
        <v>29161</v>
      </c>
      <c r="H264" s="3" t="n">
        <v>91546</v>
      </c>
      <c r="I264" s="3" t="n">
        <v>0</v>
      </c>
      <c r="J264" s="3" t="n">
        <v>160000</v>
      </c>
    </row>
    <row r="265">
      <c r="A265" t="inlineStr">
        <is>
          <t>2027/2</t>
        </is>
      </c>
      <c r="B265" t="inlineStr">
        <is>
          <t>C/9250D</t>
        </is>
      </c>
      <c r="C265" t="inlineStr">
        <is>
          <t>南港三重</t>
        </is>
      </c>
      <c r="D265" t="inlineStr">
        <is>
          <t>內部</t>
        </is>
      </c>
      <c r="E265" t="inlineStr">
        <is>
          <t>內案</t>
        </is>
      </c>
      <c r="F265" s="3" t="n">
        <v>53838</v>
      </c>
      <c r="G265" s="3" t="n">
        <v>24539</v>
      </c>
      <c r="H265" s="3" t="n">
        <v>78377</v>
      </c>
      <c r="I265" s="3" t="n">
        <v>0</v>
      </c>
      <c r="J265" s="3" t="n">
        <v>155000</v>
      </c>
    </row>
    <row r="266">
      <c r="A266" t="inlineStr">
        <is>
          <t>2027/2</t>
        </is>
      </c>
      <c r="B266" t="inlineStr">
        <is>
          <t>C/9260A</t>
        </is>
      </c>
      <c r="C266" t="inlineStr">
        <is>
          <t>台中楓溪</t>
        </is>
      </c>
      <c r="D266" t="inlineStr">
        <is>
          <t>內部</t>
        </is>
      </c>
      <c r="E266" t="inlineStr">
        <is>
          <t>內案</t>
        </is>
      </c>
      <c r="F266" s="3" t="n">
        <v>78471</v>
      </c>
      <c r="G266" s="3" t="n">
        <v>35749</v>
      </c>
      <c r="H266" s="3" t="n">
        <v>114220</v>
      </c>
      <c r="I266" s="3" t="n">
        <v>0</v>
      </c>
      <c r="J266" s="3" t="n">
        <v>160000</v>
      </c>
    </row>
    <row r="267">
      <c r="A267" t="inlineStr">
        <is>
          <t>2027/2</t>
        </is>
      </c>
      <c r="B267" t="inlineStr">
        <is>
          <t>C/9260B</t>
        </is>
      </c>
      <c r="C267" t="inlineStr">
        <is>
          <t>樺輝永鑄</t>
        </is>
      </c>
      <c r="D267" t="inlineStr">
        <is>
          <t>內部</t>
        </is>
      </c>
      <c r="E267" t="inlineStr">
        <is>
          <t>內案</t>
        </is>
      </c>
      <c r="F267" s="3" t="n">
        <v>78471</v>
      </c>
      <c r="G267" s="3" t="n">
        <v>15299</v>
      </c>
      <c r="H267" s="3" t="n">
        <v>93770</v>
      </c>
      <c r="I267" s="3" t="n">
        <v>0</v>
      </c>
      <c r="J267" s="3" t="n">
        <v>160000</v>
      </c>
    </row>
    <row r="268">
      <c r="A268" t="inlineStr">
        <is>
          <t>2027/2</t>
        </is>
      </c>
      <c r="B268" t="inlineStr">
        <is>
          <t>C/9260C</t>
        </is>
      </c>
      <c r="C268" t="inlineStr">
        <is>
          <t>中華郵政信維</t>
        </is>
      </c>
      <c r="D268" t="inlineStr">
        <is>
          <t>內部</t>
        </is>
      </c>
      <c r="E268" t="inlineStr">
        <is>
          <t>內案</t>
        </is>
      </c>
      <c r="F268" s="3" t="n">
        <v>79142</v>
      </c>
      <c r="G268" s="3" t="n">
        <v>34188</v>
      </c>
      <c r="H268" s="3" t="n">
        <v>113330</v>
      </c>
      <c r="I268" s="3" t="n">
        <v>0</v>
      </c>
      <c r="J268" s="3" t="n">
        <v>262500</v>
      </c>
    </row>
    <row r="269">
      <c r="A269" t="inlineStr">
        <is>
          <t>2027/2</t>
        </is>
      </c>
      <c r="B269" t="inlineStr">
        <is>
          <t>C/9260D</t>
        </is>
      </c>
      <c r="C269" t="inlineStr">
        <is>
          <t>大安復興</t>
        </is>
      </c>
      <c r="D269" t="inlineStr">
        <is>
          <t>內部</t>
        </is>
      </c>
      <c r="E269" t="inlineStr">
        <is>
          <t>內案</t>
        </is>
      </c>
      <c r="F269" s="3" t="n">
        <v>31503</v>
      </c>
      <c r="G269" s="3" t="n">
        <v>12516</v>
      </c>
      <c r="H269" s="3" t="n">
        <v>44019</v>
      </c>
      <c r="I269" s="3" t="n">
        <v>0</v>
      </c>
      <c r="J269" s="3" t="n">
        <v>85000</v>
      </c>
    </row>
    <row r="270">
      <c r="A270" t="inlineStr">
        <is>
          <t>2027/2</t>
        </is>
      </c>
      <c r="B270" t="inlineStr">
        <is>
          <t>C/9100B_26</t>
        </is>
      </c>
      <c r="C270" t="inlineStr">
        <is>
          <t>新取得BIM建築-26年</t>
        </is>
      </c>
      <c r="D270" t="inlineStr">
        <is>
          <t>內部</t>
        </is>
      </c>
      <c r="E270" t="inlineStr">
        <is>
          <t>內案</t>
        </is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</row>
    <row r="271">
      <c r="A271" t="inlineStr">
        <is>
          <t>2027/2</t>
        </is>
      </c>
      <c r="B271" t="inlineStr">
        <is>
          <t>C/9100A_27</t>
        </is>
      </c>
      <c r="C271" t="inlineStr">
        <is>
          <t>新取得BIM建築-26年</t>
        </is>
      </c>
      <c r="D271" t="inlineStr">
        <is>
          <t>內部</t>
        </is>
      </c>
      <c r="E271" t="inlineStr">
        <is>
          <t>內案</t>
        </is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</row>
    <row r="272">
      <c r="A272" t="inlineStr">
        <is>
          <t>2027/2</t>
        </is>
      </c>
      <c r="B272" t="inlineStr">
        <is>
          <t>C/9100B_27</t>
        </is>
      </c>
      <c r="C272" t="inlineStr">
        <is>
          <t>新取得BIM建築-27年</t>
        </is>
      </c>
      <c r="D272" t="inlineStr">
        <is>
          <t>內部</t>
        </is>
      </c>
      <c r="E272" t="inlineStr">
        <is>
          <t>內案</t>
        </is>
      </c>
      <c r="F272" s="3" t="n">
        <v>96570</v>
      </c>
      <c r="G272" s="3" t="n">
        <v>36553</v>
      </c>
      <c r="H272" s="3" t="n">
        <v>133123</v>
      </c>
      <c r="I272" s="3" t="n">
        <v>0</v>
      </c>
      <c r="J272" s="3" t="n">
        <v>175000</v>
      </c>
    </row>
    <row r="273">
      <c r="A273" t="inlineStr">
        <is>
          <t>2027/2</t>
        </is>
      </c>
      <c r="B273" t="inlineStr">
        <is>
          <t>C/9100C_27</t>
        </is>
      </c>
      <c r="C273" t="inlineStr">
        <is>
          <t>新取得BIM建築-28年</t>
        </is>
      </c>
      <c r="D273" t="inlineStr">
        <is>
          <t>內部</t>
        </is>
      </c>
      <c r="E273" t="inlineStr">
        <is>
          <t>內案</t>
        </is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</row>
    <row r="274">
      <c r="A274" t="inlineStr">
        <is>
          <t>2027/2</t>
        </is>
      </c>
      <c r="B274" t="inlineStr">
        <is>
          <t>C/9100D_27</t>
        </is>
      </c>
      <c r="C274" t="inlineStr">
        <is>
          <t>新取得BIM建築-29年</t>
        </is>
      </c>
      <c r="D274" t="inlineStr">
        <is>
          <t>內部</t>
        </is>
      </c>
      <c r="E274" t="inlineStr">
        <is>
          <t>內案</t>
        </is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</row>
    <row r="275">
      <c r="A275" t="inlineStr">
        <is>
          <t>2027/2</t>
        </is>
      </c>
      <c r="B275" t="inlineStr">
        <is>
          <t>C/9100E_27</t>
        </is>
      </c>
      <c r="C275" t="inlineStr">
        <is>
          <t>新取得BIM建築-30年</t>
        </is>
      </c>
      <c r="D275" t="inlineStr">
        <is>
          <t>內部</t>
        </is>
      </c>
      <c r="E275" t="inlineStr">
        <is>
          <t>內案</t>
        </is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</row>
    <row r="276">
      <c r="A276" t="inlineStr">
        <is>
          <t>2027/2</t>
        </is>
      </c>
      <c r="B276" t="inlineStr">
        <is>
          <t>C/9100F_27</t>
        </is>
      </c>
      <c r="C276" t="inlineStr">
        <is>
          <t>新取得BIM建築-31年</t>
        </is>
      </c>
      <c r="D276" t="inlineStr">
        <is>
          <t>內部</t>
        </is>
      </c>
      <c r="E276" t="inlineStr">
        <is>
          <t>內案</t>
        </is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</row>
    <row r="277">
      <c r="A277" t="inlineStr">
        <is>
          <t>2027/2</t>
        </is>
      </c>
      <c r="B277" t="inlineStr">
        <is>
          <t>C/99992</t>
        </is>
      </c>
      <c r="C277" t="inlineStr">
        <is>
          <t>雜項BIM土木機電</t>
        </is>
      </c>
      <c r="D277" t="inlineStr">
        <is>
          <t>內/無</t>
        </is>
      </c>
      <c r="E277" t="inlineStr">
        <is>
          <t>雜項</t>
        </is>
      </c>
      <c r="F277" s="3" t="n">
        <v>23824</v>
      </c>
      <c r="G277" s="3" t="n">
        <v>5676</v>
      </c>
      <c r="H277" s="3" t="n">
        <v>29500</v>
      </c>
      <c r="I277" s="3" t="n">
        <v>0</v>
      </c>
      <c r="J277" s="3" t="n">
        <v>29500</v>
      </c>
    </row>
    <row r="278">
      <c r="A278" t="inlineStr">
        <is>
          <t>2027/2</t>
        </is>
      </c>
      <c r="B278" t="inlineStr">
        <is>
          <t>C/99992-1</t>
        </is>
      </c>
      <c r="C278" t="inlineStr">
        <is>
          <t>雜項BIM土木機電(外案收入)</t>
        </is>
      </c>
      <c r="D278" t="inlineStr">
        <is>
          <t>外部</t>
        </is>
      </c>
      <c r="E278" t="inlineStr">
        <is>
          <t>外案</t>
        </is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</row>
    <row r="279">
      <c r="A279" t="inlineStr">
        <is>
          <t>2027/2</t>
        </is>
      </c>
      <c r="B279" t="inlineStr">
        <is>
          <t>C/99993</t>
        </is>
      </c>
      <c r="C279" t="inlineStr">
        <is>
          <t>備標BIM土木機電</t>
        </is>
      </c>
      <c r="D279" t="inlineStr">
        <is>
          <t>備標</t>
        </is>
      </c>
      <c r="E279" t="inlineStr">
        <is>
          <t>備標</t>
        </is>
      </c>
      <c r="F279" s="3" t="n">
        <v>59561</v>
      </c>
      <c r="G279" s="3" t="n">
        <v>-59561</v>
      </c>
      <c r="H279" s="3" t="n">
        <v>0</v>
      </c>
      <c r="I279" s="3" t="n">
        <v>0</v>
      </c>
      <c r="J279" s="3" t="n">
        <v>0</v>
      </c>
    </row>
    <row r="280">
      <c r="A280" t="inlineStr">
        <is>
          <t>2027/2</t>
        </is>
      </c>
      <c r="B280" t="inlineStr">
        <is>
          <t>C/9999B</t>
        </is>
      </c>
      <c r="C280" t="inlineStr">
        <is>
          <t>雜項BIM建築</t>
        </is>
      </c>
      <c r="D280" t="inlineStr">
        <is>
          <t>內/無</t>
        </is>
      </c>
      <c r="E280" t="inlineStr">
        <is>
          <t>雜項</t>
        </is>
      </c>
      <c r="F280" s="3" t="n">
        <v>186432</v>
      </c>
      <c r="G280" s="3" t="n">
        <v>-186432</v>
      </c>
      <c r="H280" s="3" t="n">
        <v>0</v>
      </c>
      <c r="I280" s="3" t="n">
        <v>0</v>
      </c>
      <c r="J280" s="3" t="n">
        <v>0</v>
      </c>
    </row>
    <row r="281">
      <c r="A281" t="inlineStr">
        <is>
          <t>2027/2</t>
        </is>
      </c>
      <c r="B281" t="inlineStr">
        <is>
          <t>C/9999D</t>
        </is>
      </c>
      <c r="C281" t="inlineStr">
        <is>
          <t>備標BIM建築</t>
        </is>
      </c>
      <c r="D281" t="inlineStr">
        <is>
          <t>備標</t>
        </is>
      </c>
      <c r="E281" t="inlineStr">
        <is>
          <t>備標</t>
        </is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</row>
    <row r="282">
      <c r="A282" t="inlineStr">
        <is>
          <t>2027/3</t>
        </is>
      </c>
      <c r="B282" t="inlineStr">
        <is>
          <t>C/92103</t>
        </is>
      </c>
      <c r="C282" t="inlineStr">
        <is>
          <t>CQ840 BIM</t>
        </is>
      </c>
      <c r="D282" t="inlineStr">
        <is>
          <t>內部</t>
        </is>
      </c>
      <c r="E282" t="inlineStr">
        <is>
          <t>內案</t>
        </is>
      </c>
      <c r="F282" s="3" t="n">
        <v>3574</v>
      </c>
      <c r="G282" s="3" t="n">
        <v>-608</v>
      </c>
      <c r="H282" s="3" t="n">
        <v>2966</v>
      </c>
      <c r="I282" s="3" t="n">
        <v>608</v>
      </c>
      <c r="J282" s="3" t="n">
        <v>0</v>
      </c>
    </row>
    <row r="283">
      <c r="A283" t="inlineStr">
        <is>
          <t>2027/3</t>
        </is>
      </c>
      <c r="B283" t="inlineStr">
        <is>
          <t>C/92202</t>
        </is>
      </c>
      <c r="C283" t="inlineStr">
        <is>
          <t>CF680C BIM</t>
        </is>
      </c>
      <c r="D283" t="inlineStr">
        <is>
          <t>內部</t>
        </is>
      </c>
      <c r="E283" t="inlineStr">
        <is>
          <t>內案</t>
        </is>
      </c>
      <c r="F283" s="3" t="n">
        <v>49957</v>
      </c>
      <c r="G283" s="3" t="n">
        <v>24023</v>
      </c>
      <c r="H283" s="3" t="n">
        <v>73980</v>
      </c>
      <c r="I283" s="3" t="n">
        <v>0</v>
      </c>
      <c r="J283" s="3" t="n">
        <v>0</v>
      </c>
    </row>
    <row r="284">
      <c r="A284" t="inlineStr">
        <is>
          <t>2027/3</t>
        </is>
      </c>
      <c r="B284" t="inlineStr">
        <is>
          <t>C/92203</t>
        </is>
      </c>
      <c r="C284" t="inlineStr">
        <is>
          <t>N－WH BIM</t>
        </is>
      </c>
      <c r="D284" t="inlineStr">
        <is>
          <t>內部</t>
        </is>
      </c>
      <c r="E284" t="inlineStr">
        <is>
          <t>內案</t>
        </is>
      </c>
      <c r="F284" s="3" t="n">
        <v>61943</v>
      </c>
      <c r="G284" s="3" t="n">
        <v>21404</v>
      </c>
      <c r="H284" s="3" t="n">
        <v>83347</v>
      </c>
      <c r="I284" s="3" t="n">
        <v>0</v>
      </c>
      <c r="J284" s="3" t="n">
        <v>75000</v>
      </c>
    </row>
    <row r="285">
      <c r="A285" t="inlineStr">
        <is>
          <t>2027/3</t>
        </is>
      </c>
      <c r="B285" t="inlineStr">
        <is>
          <t>C/92204</t>
        </is>
      </c>
      <c r="C285" t="inlineStr">
        <is>
          <t>國揚吉林機電</t>
        </is>
      </c>
      <c r="D285" t="inlineStr">
        <is>
          <t>內部</t>
        </is>
      </c>
      <c r="E285" t="inlineStr">
        <is>
          <t>內案</t>
        </is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</row>
    <row r="286">
      <c r="A286" t="inlineStr">
        <is>
          <t>2027/3</t>
        </is>
      </c>
      <c r="B286" t="inlineStr">
        <is>
          <t>C/92301</t>
        </is>
      </c>
      <c r="C286" t="inlineStr">
        <is>
          <t>CF670A BIM 土木機電</t>
        </is>
      </c>
      <c r="D286" t="inlineStr">
        <is>
          <t>內部</t>
        </is>
      </c>
      <c r="E286" t="inlineStr">
        <is>
          <t>內案</t>
        </is>
      </c>
      <c r="F286" s="3" t="n">
        <v>27324</v>
      </c>
      <c r="G286" s="3" t="n">
        <v>3138</v>
      </c>
      <c r="H286" s="3" t="n">
        <v>30462</v>
      </c>
      <c r="I286" s="3" t="n">
        <v>0</v>
      </c>
      <c r="J286" s="3" t="n">
        <v>30000</v>
      </c>
    </row>
    <row r="287">
      <c r="A287" t="inlineStr">
        <is>
          <t>2027/3</t>
        </is>
      </c>
      <c r="B287" t="inlineStr">
        <is>
          <t>C/92302</t>
        </is>
      </c>
      <c r="C287" t="inlineStr">
        <is>
          <t>富邦忠孝懷生BIM機電</t>
        </is>
      </c>
      <c r="D287" t="inlineStr">
        <is>
          <t>內部</t>
        </is>
      </c>
      <c r="E287" t="inlineStr">
        <is>
          <t>內案</t>
        </is>
      </c>
      <c r="F287" s="3" t="n">
        <v>123885</v>
      </c>
      <c r="G287" s="3" t="n">
        <v>-5293</v>
      </c>
      <c r="H287" s="3" t="n">
        <v>118592</v>
      </c>
      <c r="I287" s="3" t="n">
        <v>5293</v>
      </c>
      <c r="J287" s="3" t="n">
        <v>0</v>
      </c>
    </row>
    <row r="288">
      <c r="A288" t="inlineStr">
        <is>
          <t>2027/3</t>
        </is>
      </c>
      <c r="B288" t="inlineStr">
        <is>
          <t>C/92303</t>
        </is>
      </c>
      <c r="C288" t="inlineStr">
        <is>
          <t>信義兒福BIM機電</t>
        </is>
      </c>
      <c r="D288" t="inlineStr">
        <is>
          <t>外部</t>
        </is>
      </c>
      <c r="E288" t="inlineStr">
        <is>
          <t>外案</t>
        </is>
      </c>
      <c r="F288" s="3" t="n">
        <v>166770</v>
      </c>
      <c r="G288" s="3" t="n">
        <v>40319</v>
      </c>
      <c r="H288" s="3" t="n">
        <v>207089</v>
      </c>
      <c r="I288" s="3" t="n">
        <v>0</v>
      </c>
      <c r="J288" s="3" t="n">
        <v>347000</v>
      </c>
    </row>
    <row r="289">
      <c r="A289" t="inlineStr">
        <is>
          <t>2027/3</t>
        </is>
      </c>
      <c r="B289" t="inlineStr">
        <is>
          <t>C/92304</t>
        </is>
      </c>
      <c r="C289" t="inlineStr">
        <is>
          <t>捷運劍潭站TOD統包BIM機電</t>
        </is>
      </c>
      <c r="D289" t="inlineStr">
        <is>
          <t>內部</t>
        </is>
      </c>
      <c r="E289" t="inlineStr">
        <is>
          <t>內案</t>
        </is>
      </c>
      <c r="F289" s="3" t="n">
        <v>119121</v>
      </c>
      <c r="G289" s="3" t="n">
        <v>12834</v>
      </c>
      <c r="H289" s="3" t="n">
        <v>131955</v>
      </c>
      <c r="I289" s="3" t="n">
        <v>0</v>
      </c>
      <c r="J289" s="3" t="n">
        <v>160000</v>
      </c>
    </row>
    <row r="290">
      <c r="A290" t="inlineStr">
        <is>
          <t>2027/3</t>
        </is>
      </c>
      <c r="B290" t="inlineStr">
        <is>
          <t>C/92401</t>
        </is>
      </c>
      <c r="C290" t="inlineStr">
        <is>
          <t>CJ17 土木機電</t>
        </is>
      </c>
      <c r="D290" t="inlineStr">
        <is>
          <t>內部</t>
        </is>
      </c>
      <c r="E290" t="inlineStr">
        <is>
          <t>內案</t>
        </is>
      </c>
      <c r="F290" s="3" t="n">
        <v>491896</v>
      </c>
      <c r="G290" s="3" t="n">
        <v>238146</v>
      </c>
      <c r="H290" s="3" t="n">
        <v>730042</v>
      </c>
      <c r="I290" s="3" t="n">
        <v>0</v>
      </c>
      <c r="J290" s="3" t="n">
        <v>431668</v>
      </c>
    </row>
    <row r="291">
      <c r="A291" t="inlineStr">
        <is>
          <t>2027/3</t>
        </is>
      </c>
      <c r="B291" t="inlineStr">
        <is>
          <t>C/92501</t>
        </is>
      </c>
      <c r="C291" t="inlineStr">
        <is>
          <t>CF670 BIM土木機電</t>
        </is>
      </c>
      <c r="D291" t="inlineStr">
        <is>
          <t>內部</t>
        </is>
      </c>
      <c r="E291" t="inlineStr">
        <is>
          <t>內案</t>
        </is>
      </c>
      <c r="F291" s="3" t="n">
        <v>589575</v>
      </c>
      <c r="G291" s="3" t="n">
        <v>281545</v>
      </c>
      <c r="H291" s="3" t="n">
        <v>871120</v>
      </c>
      <c r="I291" s="3" t="n">
        <v>0</v>
      </c>
      <c r="J291" s="3" t="n">
        <v>900000</v>
      </c>
    </row>
    <row r="292">
      <c r="A292" t="inlineStr">
        <is>
          <t>2027/3</t>
        </is>
      </c>
      <c r="B292" t="inlineStr">
        <is>
          <t>C/92502</t>
        </is>
      </c>
      <c r="C292" t="inlineStr">
        <is>
          <t>擎邦-聯發科機電</t>
        </is>
      </c>
      <c r="D292" t="inlineStr">
        <is>
          <t>外部</t>
        </is>
      </c>
      <c r="E292" t="inlineStr">
        <is>
          <t>外案</t>
        </is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</row>
    <row r="293">
      <c r="A293" t="inlineStr">
        <is>
          <t>2027/3</t>
        </is>
      </c>
      <c r="B293" t="inlineStr">
        <is>
          <t>C/92503</t>
        </is>
      </c>
      <c r="C293" t="inlineStr">
        <is>
          <t>CF690B BIM土木</t>
        </is>
      </c>
      <c r="D293" t="inlineStr">
        <is>
          <t>外部</t>
        </is>
      </c>
      <c r="E293" t="inlineStr">
        <is>
          <t>外案</t>
        </is>
      </c>
      <c r="F293" s="3" t="n">
        <v>122621</v>
      </c>
      <c r="G293" s="3" t="n">
        <v>51130</v>
      </c>
      <c r="H293" s="3" t="n">
        <v>173751</v>
      </c>
      <c r="I293" s="3" t="n">
        <v>0</v>
      </c>
      <c r="J293" s="3" t="n">
        <v>0</v>
      </c>
    </row>
    <row r="294">
      <c r="A294" t="inlineStr">
        <is>
          <t>2027/3</t>
        </is>
      </c>
      <c r="B294" t="inlineStr">
        <is>
          <t>C/92504</t>
        </is>
      </c>
      <c r="C294" t="inlineStr">
        <is>
          <t>擎邦-員榮總醫院BIM</t>
        </is>
      </c>
      <c r="D294" t="inlineStr">
        <is>
          <t>外部</t>
        </is>
      </c>
      <c r="E294" t="inlineStr">
        <is>
          <t>外案</t>
        </is>
      </c>
      <c r="F294" s="3" t="n">
        <v>160813</v>
      </c>
      <c r="G294" s="3" t="n">
        <v>78946</v>
      </c>
      <c r="H294" s="3" t="n">
        <v>239759</v>
      </c>
      <c r="I294" s="3" t="n">
        <v>0</v>
      </c>
      <c r="J294" s="3" t="n">
        <v>1316000</v>
      </c>
    </row>
    <row r="295">
      <c r="A295" t="inlineStr">
        <is>
          <t>2027/3</t>
        </is>
      </c>
      <c r="B295" t="inlineStr">
        <is>
          <t>C/92601</t>
        </is>
      </c>
      <c r="C295" t="inlineStr">
        <is>
          <t>擎邦-聯發科銅鑼</t>
        </is>
      </c>
      <c r="D295" t="inlineStr">
        <is>
          <t>外部</t>
        </is>
      </c>
      <c r="E295" t="inlineStr">
        <is>
          <t>外案</t>
        </is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</row>
    <row r="296">
      <c r="A296" t="inlineStr">
        <is>
          <t>2027/3</t>
        </is>
      </c>
      <c r="B296" t="inlineStr">
        <is>
          <t>C/92602</t>
        </is>
      </c>
      <c r="C296" t="inlineStr">
        <is>
          <t>擎邦-CF624F機電(CF690B機電)</t>
        </is>
      </c>
      <c r="D296" t="inlineStr">
        <is>
          <t>外部</t>
        </is>
      </c>
      <c r="E296" t="inlineStr">
        <is>
          <t>外案</t>
        </is>
      </c>
      <c r="F296" s="3" t="n">
        <v>238242</v>
      </c>
      <c r="G296" s="3" t="n">
        <v>111166</v>
      </c>
      <c r="H296" s="3" t="n">
        <v>349408</v>
      </c>
      <c r="I296" s="3" t="n">
        <v>0</v>
      </c>
      <c r="J296" s="3" t="n">
        <v>0</v>
      </c>
    </row>
    <row r="297">
      <c r="A297" t="inlineStr">
        <is>
          <t>2027/3</t>
        </is>
      </c>
      <c r="B297" t="inlineStr">
        <is>
          <t>C/92603</t>
        </is>
      </c>
      <c r="C297" t="inlineStr">
        <is>
          <t>中華郵政信維機電</t>
        </is>
      </c>
      <c r="D297" t="inlineStr">
        <is>
          <t>內部</t>
        </is>
      </c>
      <c r="E297" t="inlineStr">
        <is>
          <t>內案</t>
        </is>
      </c>
      <c r="F297" s="3" t="n">
        <v>238242</v>
      </c>
      <c r="G297" s="3" t="n">
        <v>116968</v>
      </c>
      <c r="H297" s="3" t="n">
        <v>355210</v>
      </c>
      <c r="I297" s="3" t="n">
        <v>0</v>
      </c>
      <c r="J297" s="3" t="n">
        <v>392000</v>
      </c>
    </row>
    <row r="298">
      <c r="A298" t="inlineStr">
        <is>
          <t>2027/3</t>
        </is>
      </c>
      <c r="B298" t="inlineStr">
        <is>
          <t>C/91001_26</t>
        </is>
      </c>
      <c r="C298" t="inlineStr">
        <is>
          <t>新取得BIM土木機電-26年</t>
        </is>
      </c>
      <c r="D298" t="inlineStr">
        <is>
          <t>內部</t>
        </is>
      </c>
      <c r="E298" t="inlineStr">
        <is>
          <t>內案</t>
        </is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</row>
    <row r="299">
      <c r="A299" t="inlineStr">
        <is>
          <t>2027/3</t>
        </is>
      </c>
      <c r="B299" t="inlineStr">
        <is>
          <t>C/91000_27</t>
        </is>
      </c>
      <c r="C299" t="inlineStr">
        <is>
          <t>新取得BIM土木機電-26年</t>
        </is>
      </c>
      <c r="D299" t="inlineStr">
        <is>
          <t>內部</t>
        </is>
      </c>
      <c r="E299" t="inlineStr">
        <is>
          <t>內案</t>
        </is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</row>
    <row r="300">
      <c r="A300" t="inlineStr">
        <is>
          <t>2027/3</t>
        </is>
      </c>
      <c r="B300" t="inlineStr">
        <is>
          <t>C/91001_27</t>
        </is>
      </c>
      <c r="C300" t="inlineStr">
        <is>
          <t>新取得BIM土木機電-27年</t>
        </is>
      </c>
      <c r="D300" t="inlineStr">
        <is>
          <t>內部</t>
        </is>
      </c>
      <c r="E300" t="inlineStr">
        <is>
          <t>內案</t>
        </is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</row>
    <row r="301">
      <c r="A301" t="inlineStr">
        <is>
          <t>2027/3</t>
        </is>
      </c>
      <c r="B301" t="inlineStr">
        <is>
          <t>C/91002_27</t>
        </is>
      </c>
      <c r="C301" t="inlineStr">
        <is>
          <t>新取得BIM土木機電-28年</t>
        </is>
      </c>
      <c r="D301" t="inlineStr">
        <is>
          <t>內部</t>
        </is>
      </c>
      <c r="E301" t="inlineStr">
        <is>
          <t>內案</t>
        </is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</row>
    <row r="302">
      <c r="A302" t="inlineStr">
        <is>
          <t>2027/3</t>
        </is>
      </c>
      <c r="B302" t="inlineStr">
        <is>
          <t>C/91003_27</t>
        </is>
      </c>
      <c r="C302" t="inlineStr">
        <is>
          <t>新取得BIM土木機電-29年</t>
        </is>
      </c>
      <c r="D302" t="inlineStr">
        <is>
          <t>內部</t>
        </is>
      </c>
      <c r="E302" t="inlineStr">
        <is>
          <t>內案</t>
        </is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</row>
    <row r="303">
      <c r="A303" t="inlineStr">
        <is>
          <t>2027/3</t>
        </is>
      </c>
      <c r="B303" t="inlineStr">
        <is>
          <t>C/91004_27</t>
        </is>
      </c>
      <c r="C303" t="inlineStr">
        <is>
          <t>新取得BIM土木機電-30年</t>
        </is>
      </c>
      <c r="D303" t="inlineStr">
        <is>
          <t>內部</t>
        </is>
      </c>
      <c r="E303" t="inlineStr">
        <is>
          <t>內案</t>
        </is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</row>
    <row r="304">
      <c r="A304" t="inlineStr">
        <is>
          <t>2027/3</t>
        </is>
      </c>
      <c r="B304" t="inlineStr">
        <is>
          <t>C/91005_27</t>
        </is>
      </c>
      <c r="C304" t="inlineStr">
        <is>
          <t>新取得BIM土木機電-31年</t>
        </is>
      </c>
      <c r="D304" t="inlineStr">
        <is>
          <t>內部</t>
        </is>
      </c>
      <c r="E304" t="inlineStr">
        <is>
          <t>內案</t>
        </is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</row>
    <row r="305">
      <c r="A305" t="inlineStr">
        <is>
          <t>2027/3</t>
        </is>
      </c>
      <c r="B305" t="inlineStr">
        <is>
          <t>C/9210F</t>
        </is>
      </c>
      <c r="C305" t="inlineStr">
        <is>
          <t>南港機廠BIM建築</t>
        </is>
      </c>
      <c r="D305" t="inlineStr">
        <is>
          <t>外部</t>
        </is>
      </c>
      <c r="E305" t="inlineStr">
        <is>
          <t>外案</t>
        </is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</row>
    <row r="306">
      <c r="A306" t="inlineStr">
        <is>
          <t>2027/3</t>
        </is>
      </c>
      <c r="B306" t="inlineStr">
        <is>
          <t>C/9210G</t>
        </is>
      </c>
      <c r="C306" t="inlineStr">
        <is>
          <t>富邦忠孝懷生BIM建築</t>
        </is>
      </c>
      <c r="D306" t="inlineStr">
        <is>
          <t>內部</t>
        </is>
      </c>
      <c r="E306" t="inlineStr">
        <is>
          <t>內案</t>
        </is>
      </c>
      <c r="F306" s="3" t="n">
        <v>33964</v>
      </c>
      <c r="G306" s="3" t="n">
        <v>-3209</v>
      </c>
      <c r="H306" s="3" t="n">
        <v>30755</v>
      </c>
      <c r="I306" s="3" t="n">
        <v>3209</v>
      </c>
      <c r="J306" s="3" t="n">
        <v>0</v>
      </c>
    </row>
    <row r="307">
      <c r="A307" t="inlineStr">
        <is>
          <t>2027/3</t>
        </is>
      </c>
      <c r="B307" t="inlineStr">
        <is>
          <t>C/9220E</t>
        </is>
      </c>
      <c r="C307" t="inlineStr">
        <is>
          <t>柏鴻北士科 C/9100A-22A</t>
        </is>
      </c>
      <c r="D307" t="inlineStr">
        <is>
          <t>內部</t>
        </is>
      </c>
      <c r="E307" t="inlineStr">
        <is>
          <t>內案</t>
        </is>
      </c>
      <c r="F307" s="3" t="n">
        <v>33964</v>
      </c>
      <c r="G307" s="3" t="n">
        <v>23288</v>
      </c>
      <c r="H307" s="3" t="n">
        <v>57252</v>
      </c>
      <c r="I307" s="3" t="n">
        <v>0</v>
      </c>
      <c r="J307" s="3" t="n">
        <v>0</v>
      </c>
    </row>
    <row r="308">
      <c r="A308" t="inlineStr">
        <is>
          <t>2027/3</t>
        </is>
      </c>
      <c r="B308" t="inlineStr">
        <is>
          <t>C/9230A</t>
        </is>
      </c>
      <c r="C308" t="inlineStr">
        <is>
          <t>信義兒福BIM建築</t>
        </is>
      </c>
      <c r="D308" t="inlineStr">
        <is>
          <t>外部</t>
        </is>
      </c>
      <c r="E308" t="inlineStr">
        <is>
          <t>外案</t>
        </is>
      </c>
      <c r="F308" s="3" t="n">
        <v>136239</v>
      </c>
      <c r="G308" s="3" t="n">
        <v>54099</v>
      </c>
      <c r="H308" s="3" t="n">
        <v>190338</v>
      </c>
      <c r="I308" s="3" t="n">
        <v>0</v>
      </c>
      <c r="J308" s="3" t="n">
        <v>0</v>
      </c>
    </row>
    <row r="309">
      <c r="A309" t="inlineStr">
        <is>
          <t>2027/3</t>
        </is>
      </c>
      <c r="B309" t="inlineStr">
        <is>
          <t>C/9230B</t>
        </is>
      </c>
      <c r="C309" t="inlineStr">
        <is>
          <t>北捷劍潭TOD</t>
        </is>
      </c>
      <c r="D309" t="inlineStr">
        <is>
          <t>內部</t>
        </is>
      </c>
      <c r="E309" t="inlineStr">
        <is>
          <t>內案</t>
        </is>
      </c>
      <c r="F309" s="3" t="n">
        <v>159582</v>
      </c>
      <c r="G309" s="3" t="n">
        <v>88358</v>
      </c>
      <c r="H309" s="3" t="n">
        <v>247940</v>
      </c>
      <c r="I309" s="3" t="n">
        <v>0</v>
      </c>
      <c r="J309" s="3" t="n">
        <v>150000</v>
      </c>
    </row>
    <row r="310">
      <c r="A310" t="inlineStr">
        <is>
          <t>2027/3</t>
        </is>
      </c>
      <c r="B310" t="inlineStr">
        <is>
          <t>C/9230C</t>
        </is>
      </c>
      <c r="C310" t="inlineStr">
        <is>
          <t>慶城福華-23年</t>
        </is>
      </c>
      <c r="D310" t="inlineStr">
        <is>
          <t>內部</t>
        </is>
      </c>
      <c r="E310" t="inlineStr">
        <is>
          <t>內案</t>
        </is>
      </c>
      <c r="F310" s="3" t="n">
        <v>1051</v>
      </c>
      <c r="G310" s="3" t="n">
        <v>571</v>
      </c>
      <c r="H310" s="3" t="n">
        <v>1622</v>
      </c>
      <c r="I310" s="3" t="n">
        <v>0</v>
      </c>
      <c r="J310" s="3" t="n">
        <v>0</v>
      </c>
    </row>
    <row r="311">
      <c r="A311" t="inlineStr">
        <is>
          <t>2027/3</t>
        </is>
      </c>
      <c r="B311" t="inlineStr">
        <is>
          <t>C/9240A</t>
        </is>
      </c>
      <c r="C311" t="inlineStr">
        <is>
          <t>南港國際一</t>
        </is>
      </c>
      <c r="D311" t="inlineStr">
        <is>
          <t>內部</t>
        </is>
      </c>
      <c r="E311" t="inlineStr">
        <is>
          <t>內案</t>
        </is>
      </c>
      <c r="F311" s="3" t="n">
        <v>273880</v>
      </c>
      <c r="G311" s="3" t="n">
        <v>241328</v>
      </c>
      <c r="H311" s="3" t="n">
        <v>515208</v>
      </c>
      <c r="I311" s="3" t="n">
        <v>0</v>
      </c>
      <c r="J311" s="3" t="n">
        <v>0</v>
      </c>
    </row>
    <row r="312">
      <c r="A312" t="inlineStr">
        <is>
          <t>2027/3</t>
        </is>
      </c>
      <c r="B312" t="inlineStr">
        <is>
          <t>C/9240B</t>
        </is>
      </c>
      <c r="C312" t="inlineStr">
        <is>
          <t xml:space="preserve">台中洲際BIM建築 </t>
        </is>
      </c>
      <c r="D312" t="inlineStr">
        <is>
          <t>內部</t>
        </is>
      </c>
      <c r="E312" t="inlineStr">
        <is>
          <t>內案</t>
        </is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</row>
    <row r="313">
      <c r="A313" t="inlineStr">
        <is>
          <t>2027/3</t>
        </is>
      </c>
      <c r="B313" t="inlineStr">
        <is>
          <t>C/9240C</t>
        </is>
      </c>
      <c r="C313" t="inlineStr">
        <is>
          <t xml:space="preserve">大直金泰BIM建築 </t>
        </is>
      </c>
      <c r="D313" t="inlineStr">
        <is>
          <t>內部</t>
        </is>
      </c>
      <c r="E313" t="inlineStr">
        <is>
          <t>內案</t>
        </is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</row>
    <row r="314">
      <c r="A314" t="inlineStr">
        <is>
          <t>2027/3</t>
        </is>
      </c>
      <c r="B314" t="inlineStr">
        <is>
          <t>C/9240D</t>
        </is>
      </c>
      <c r="C314" t="inlineStr">
        <is>
          <t xml:space="preserve">板橋新雅BIM建築 </t>
        </is>
      </c>
      <c r="D314" t="inlineStr">
        <is>
          <t>內部</t>
        </is>
      </c>
      <c r="E314" t="inlineStr">
        <is>
          <t>內案</t>
        </is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</row>
    <row r="315">
      <c r="A315" t="inlineStr">
        <is>
          <t>2027/3</t>
        </is>
      </c>
      <c r="B315" t="inlineStr">
        <is>
          <t>C/9240E</t>
        </is>
      </c>
      <c r="C315" t="inlineStr">
        <is>
          <t xml:space="preserve">板橋四維BIM建築 </t>
        </is>
      </c>
      <c r="D315" t="inlineStr">
        <is>
          <t>內部</t>
        </is>
      </c>
      <c r="E315" t="inlineStr">
        <is>
          <t>內案</t>
        </is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</row>
    <row r="316">
      <c r="A316" t="inlineStr">
        <is>
          <t>2027/3</t>
        </is>
      </c>
      <c r="B316" t="inlineStr">
        <is>
          <t>C/9240F</t>
        </is>
      </c>
      <c r="C316" t="inlineStr">
        <is>
          <t>台中新美齊</t>
        </is>
      </c>
      <c r="D316" t="inlineStr">
        <is>
          <t>內部</t>
        </is>
      </c>
      <c r="E316" t="inlineStr">
        <is>
          <t>內案</t>
        </is>
      </c>
      <c r="F316" s="3" t="n">
        <v>1051</v>
      </c>
      <c r="G316" s="3" t="n">
        <v>922</v>
      </c>
      <c r="H316" s="3" t="n">
        <v>1973</v>
      </c>
      <c r="I316" s="3" t="n">
        <v>0</v>
      </c>
      <c r="J316" s="3" t="n">
        <v>0</v>
      </c>
    </row>
    <row r="317">
      <c r="A317" t="inlineStr">
        <is>
          <t>2027/3</t>
        </is>
      </c>
      <c r="B317" t="inlineStr">
        <is>
          <t>C/9240G</t>
        </is>
      </c>
      <c r="C317" t="inlineStr">
        <is>
          <t>晨禎片片山閑</t>
        </is>
      </c>
      <c r="D317" t="inlineStr">
        <is>
          <t>外部</t>
        </is>
      </c>
      <c r="E317" t="inlineStr">
        <is>
          <t>外案</t>
        </is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</row>
    <row r="318">
      <c r="A318" t="inlineStr">
        <is>
          <t>2027/3</t>
        </is>
      </c>
      <c r="B318" t="inlineStr">
        <is>
          <t>C/9250A</t>
        </is>
      </c>
      <c r="C318" t="inlineStr">
        <is>
          <t>南機二區BIM服務</t>
        </is>
      </c>
      <c r="D318" t="inlineStr">
        <is>
          <t>內部</t>
        </is>
      </c>
      <c r="E318" t="inlineStr">
        <is>
          <t>內案</t>
        </is>
      </c>
      <c r="F318" s="3" t="n">
        <v>1515676</v>
      </c>
      <c r="G318" s="3" t="n">
        <v>376418</v>
      </c>
      <c r="H318" s="3" t="n">
        <v>1892094</v>
      </c>
      <c r="I318" s="3" t="n">
        <v>0</v>
      </c>
      <c r="J318" s="3" t="n">
        <v>1497250</v>
      </c>
    </row>
    <row r="319">
      <c r="A319" t="inlineStr">
        <is>
          <t>2027/3</t>
        </is>
      </c>
      <c r="B319" t="inlineStr">
        <is>
          <t>C/9250B</t>
        </is>
      </c>
      <c r="C319" t="inlineStr">
        <is>
          <t>璞真南港總部</t>
        </is>
      </c>
      <c r="D319" t="inlineStr">
        <is>
          <t>內部</t>
        </is>
      </c>
      <c r="E319" t="inlineStr">
        <is>
          <t>內案</t>
        </is>
      </c>
      <c r="F319" s="3" t="n">
        <v>1752</v>
      </c>
      <c r="G319" s="3" t="n">
        <v>873</v>
      </c>
      <c r="H319" s="3" t="n">
        <v>2625</v>
      </c>
      <c r="I319" s="3" t="n">
        <v>0</v>
      </c>
      <c r="J319" s="3" t="n">
        <v>0</v>
      </c>
    </row>
    <row r="320">
      <c r="A320" t="inlineStr">
        <is>
          <t>2027/3</t>
        </is>
      </c>
      <c r="B320" t="inlineStr">
        <is>
          <t>C/9250C</t>
        </is>
      </c>
      <c r="C320" t="inlineStr">
        <is>
          <t>築源南港</t>
        </is>
      </c>
      <c r="D320" t="inlineStr">
        <is>
          <t>內部</t>
        </is>
      </c>
      <c r="E320" t="inlineStr">
        <is>
          <t>內案</t>
        </is>
      </c>
      <c r="F320" s="3" t="n">
        <v>135889</v>
      </c>
      <c r="G320" s="3" t="n">
        <v>63521</v>
      </c>
      <c r="H320" s="3" t="n">
        <v>199410</v>
      </c>
      <c r="I320" s="3" t="n">
        <v>0</v>
      </c>
      <c r="J320" s="3" t="n">
        <v>160000</v>
      </c>
    </row>
    <row r="321">
      <c r="A321" t="inlineStr">
        <is>
          <t>2027/3</t>
        </is>
      </c>
      <c r="B321" t="inlineStr">
        <is>
          <t>C/9250D</t>
        </is>
      </c>
      <c r="C321" t="inlineStr">
        <is>
          <t>南港三重</t>
        </is>
      </c>
      <c r="D321" t="inlineStr">
        <is>
          <t>內部</t>
        </is>
      </c>
      <c r="E321" t="inlineStr">
        <is>
          <t>內案</t>
        </is>
      </c>
      <c r="F321" s="3" t="n">
        <v>89903</v>
      </c>
      <c r="G321" s="3" t="n">
        <v>40976</v>
      </c>
      <c r="H321" s="3" t="n">
        <v>130879</v>
      </c>
      <c r="I321" s="3" t="n">
        <v>0</v>
      </c>
      <c r="J321" s="3" t="n">
        <v>155000</v>
      </c>
    </row>
    <row r="322">
      <c r="A322" t="inlineStr">
        <is>
          <t>2027/3</t>
        </is>
      </c>
      <c r="B322" t="inlineStr">
        <is>
          <t>C/9260A</t>
        </is>
      </c>
      <c r="C322" t="inlineStr">
        <is>
          <t>台中楓溪</t>
        </is>
      </c>
      <c r="D322" t="inlineStr">
        <is>
          <t>內部</t>
        </is>
      </c>
      <c r="E322" t="inlineStr">
        <is>
          <t>內案</t>
        </is>
      </c>
      <c r="F322" s="3" t="n">
        <v>136239</v>
      </c>
      <c r="G322" s="3" t="n">
        <v>62066</v>
      </c>
      <c r="H322" s="3" t="n">
        <v>198305</v>
      </c>
      <c r="I322" s="3" t="n">
        <v>0</v>
      </c>
      <c r="J322" s="3" t="n">
        <v>160000</v>
      </c>
    </row>
    <row r="323">
      <c r="A323" t="inlineStr">
        <is>
          <t>2027/3</t>
        </is>
      </c>
      <c r="B323" t="inlineStr">
        <is>
          <t>C/9260B</t>
        </is>
      </c>
      <c r="C323" t="inlineStr">
        <is>
          <t>樺輝永鑄</t>
        </is>
      </c>
      <c r="D323" t="inlineStr">
        <is>
          <t>內部</t>
        </is>
      </c>
      <c r="E323" t="inlineStr">
        <is>
          <t>內案</t>
        </is>
      </c>
      <c r="F323" s="3" t="n">
        <v>203500</v>
      </c>
      <c r="G323" s="3" t="n">
        <v>39675</v>
      </c>
      <c r="H323" s="3" t="n">
        <v>243175</v>
      </c>
      <c r="I323" s="3" t="n">
        <v>0</v>
      </c>
      <c r="J323" s="3" t="n">
        <v>160000</v>
      </c>
    </row>
    <row r="324">
      <c r="A324" t="inlineStr">
        <is>
          <t>2027/3</t>
        </is>
      </c>
      <c r="B324" t="inlineStr">
        <is>
          <t>C/9260C</t>
        </is>
      </c>
      <c r="C324" t="inlineStr">
        <is>
          <t>中華郵政信維</t>
        </is>
      </c>
      <c r="D324" t="inlineStr">
        <is>
          <t>內部</t>
        </is>
      </c>
      <c r="E324" t="inlineStr">
        <is>
          <t>內案</t>
        </is>
      </c>
      <c r="F324" s="3" t="n">
        <v>136940</v>
      </c>
      <c r="G324" s="3" t="n">
        <v>59156</v>
      </c>
      <c r="H324" s="3" t="n">
        <v>196096</v>
      </c>
      <c r="I324" s="3" t="n">
        <v>0</v>
      </c>
      <c r="J324" s="3" t="n">
        <v>262500</v>
      </c>
    </row>
    <row r="325">
      <c r="A325" t="inlineStr">
        <is>
          <t>2027/3</t>
        </is>
      </c>
      <c r="B325" t="inlineStr">
        <is>
          <t>C/9260D</t>
        </is>
      </c>
      <c r="C325" t="inlineStr">
        <is>
          <t>大安復興</t>
        </is>
      </c>
      <c r="D325" t="inlineStr">
        <is>
          <t>內部</t>
        </is>
      </c>
      <c r="E325" t="inlineStr">
        <is>
          <t>內案</t>
        </is>
      </c>
      <c r="F325" s="3" t="n">
        <v>67260</v>
      </c>
      <c r="G325" s="3" t="n">
        <v>26723</v>
      </c>
      <c r="H325" s="3" t="n">
        <v>93983</v>
      </c>
      <c r="I325" s="3" t="n">
        <v>0</v>
      </c>
      <c r="J325" s="3" t="n">
        <v>85000</v>
      </c>
    </row>
    <row r="326">
      <c r="A326" t="inlineStr">
        <is>
          <t>2027/3</t>
        </is>
      </c>
      <c r="B326" t="inlineStr">
        <is>
          <t>C/9100B_26</t>
        </is>
      </c>
      <c r="C326" t="inlineStr">
        <is>
          <t>新取得BIM建築-26年</t>
        </is>
      </c>
      <c r="D326" t="inlineStr">
        <is>
          <t>內部</t>
        </is>
      </c>
      <c r="E326" t="inlineStr">
        <is>
          <t>內案</t>
        </is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</row>
    <row r="327">
      <c r="A327" t="inlineStr">
        <is>
          <t>2027/3</t>
        </is>
      </c>
      <c r="B327" t="inlineStr">
        <is>
          <t>C/9100A_27</t>
        </is>
      </c>
      <c r="C327" t="inlineStr">
        <is>
          <t>新取得BIM建築-26年</t>
        </is>
      </c>
      <c r="D327" t="inlineStr">
        <is>
          <t>內部</t>
        </is>
      </c>
      <c r="E327" t="inlineStr">
        <is>
          <t>內案</t>
        </is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</row>
    <row r="328">
      <c r="A328" t="inlineStr">
        <is>
          <t>2027/3</t>
        </is>
      </c>
      <c r="B328" t="inlineStr">
        <is>
          <t>C/9100B_27</t>
        </is>
      </c>
      <c r="C328" t="inlineStr">
        <is>
          <t>新取得BIM建築-27年</t>
        </is>
      </c>
      <c r="D328" t="inlineStr">
        <is>
          <t>內部</t>
        </is>
      </c>
      <c r="E328" t="inlineStr">
        <is>
          <t>內案</t>
        </is>
      </c>
      <c r="F328" s="3" t="n">
        <v>375104</v>
      </c>
      <c r="G328" s="3" t="n">
        <v>141982</v>
      </c>
      <c r="H328" s="3" t="n">
        <v>517086</v>
      </c>
      <c r="I328" s="3" t="n">
        <v>0</v>
      </c>
      <c r="J328" s="3" t="n">
        <v>685000</v>
      </c>
    </row>
    <row r="329">
      <c r="A329" t="inlineStr">
        <is>
          <t>2027/3</t>
        </is>
      </c>
      <c r="B329" t="inlineStr">
        <is>
          <t>C/9100C_27</t>
        </is>
      </c>
      <c r="C329" t="inlineStr">
        <is>
          <t>新取得BIM建築-28年</t>
        </is>
      </c>
      <c r="D329" t="inlineStr">
        <is>
          <t>內部</t>
        </is>
      </c>
      <c r="E329" t="inlineStr">
        <is>
          <t>內案</t>
        </is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</row>
    <row r="330">
      <c r="A330" t="inlineStr">
        <is>
          <t>2027/3</t>
        </is>
      </c>
      <c r="B330" t="inlineStr">
        <is>
          <t>C/9100D_27</t>
        </is>
      </c>
      <c r="C330" t="inlineStr">
        <is>
          <t>新取得BIM建築-29年</t>
        </is>
      </c>
      <c r="D330" t="inlineStr">
        <is>
          <t>內部</t>
        </is>
      </c>
      <c r="E330" t="inlineStr">
        <is>
          <t>內案</t>
        </is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</row>
    <row r="331">
      <c r="A331" t="inlineStr">
        <is>
          <t>2027/3</t>
        </is>
      </c>
      <c r="B331" t="inlineStr">
        <is>
          <t>C/9100E_27</t>
        </is>
      </c>
      <c r="C331" t="inlineStr">
        <is>
          <t>新取得BIM建築-30年</t>
        </is>
      </c>
      <c r="D331" t="inlineStr">
        <is>
          <t>內部</t>
        </is>
      </c>
      <c r="E331" t="inlineStr">
        <is>
          <t>內案</t>
        </is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</row>
    <row r="332">
      <c r="A332" t="inlineStr">
        <is>
          <t>2027/3</t>
        </is>
      </c>
      <c r="B332" t="inlineStr">
        <is>
          <t>C/9100F_27</t>
        </is>
      </c>
      <c r="C332" t="inlineStr">
        <is>
          <t>新取得BIM建築-31年</t>
        </is>
      </c>
      <c r="D332" t="inlineStr">
        <is>
          <t>內部</t>
        </is>
      </c>
      <c r="E332" t="inlineStr">
        <is>
          <t>內案</t>
        </is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</row>
    <row r="333">
      <c r="A333" t="inlineStr">
        <is>
          <t>2027/3</t>
        </is>
      </c>
      <c r="B333" t="inlineStr">
        <is>
          <t>C/99992</t>
        </is>
      </c>
      <c r="C333" t="inlineStr">
        <is>
          <t>雜項BIM土木機電</t>
        </is>
      </c>
      <c r="D333" t="inlineStr">
        <is>
          <t>內/無</t>
        </is>
      </c>
      <c r="E333" t="inlineStr">
        <is>
          <t>雜項</t>
        </is>
      </c>
      <c r="F333" s="3" t="n">
        <v>23824</v>
      </c>
      <c r="G333" s="3" t="n">
        <v>5676</v>
      </c>
      <c r="H333" s="3" t="n">
        <v>29500</v>
      </c>
      <c r="I333" s="3" t="n">
        <v>0</v>
      </c>
      <c r="J333" s="3" t="n">
        <v>29500</v>
      </c>
    </row>
    <row r="334">
      <c r="A334" t="inlineStr">
        <is>
          <t>2027/3</t>
        </is>
      </c>
      <c r="B334" t="inlineStr">
        <is>
          <t>C/99992-1</t>
        </is>
      </c>
      <c r="C334" t="inlineStr">
        <is>
          <t>雜項BIM土木機電(外案收入)</t>
        </is>
      </c>
      <c r="D334" t="inlineStr">
        <is>
          <t>外部</t>
        </is>
      </c>
      <c r="E334" t="inlineStr">
        <is>
          <t>外案</t>
        </is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</row>
    <row r="335">
      <c r="A335" t="inlineStr">
        <is>
          <t>2027/3</t>
        </is>
      </c>
      <c r="B335" t="inlineStr">
        <is>
          <t>C/99993</t>
        </is>
      </c>
      <c r="C335" t="inlineStr">
        <is>
          <t>備標BIM土木機電</t>
        </is>
      </c>
      <c r="D335" t="inlineStr">
        <is>
          <t>備標</t>
        </is>
      </c>
      <c r="E335" t="inlineStr">
        <is>
          <t>備標</t>
        </is>
      </c>
      <c r="F335" s="3" t="n">
        <v>59561</v>
      </c>
      <c r="G335" s="3" t="n">
        <v>-59561</v>
      </c>
      <c r="H335" s="3" t="n">
        <v>0</v>
      </c>
      <c r="I335" s="3" t="n">
        <v>0</v>
      </c>
      <c r="J335" s="3" t="n">
        <v>0</v>
      </c>
    </row>
    <row r="336">
      <c r="A336" t="inlineStr">
        <is>
          <t>2027/3</t>
        </is>
      </c>
      <c r="B336" t="inlineStr">
        <is>
          <t>C/9999B</t>
        </is>
      </c>
      <c r="C336" t="inlineStr">
        <is>
          <t>雜項BIM建築</t>
        </is>
      </c>
      <c r="D336" t="inlineStr">
        <is>
          <t>內/無</t>
        </is>
      </c>
      <c r="E336" t="inlineStr">
        <is>
          <t>雜項</t>
        </is>
      </c>
      <c r="F336" s="3" t="n">
        <v>247734</v>
      </c>
      <c r="G336" s="3" t="n">
        <v>-247734</v>
      </c>
      <c r="H336" s="3" t="n">
        <v>0</v>
      </c>
      <c r="I336" s="3" t="n">
        <v>0</v>
      </c>
      <c r="J336" s="3" t="n">
        <v>0</v>
      </c>
    </row>
    <row r="337">
      <c r="A337" t="inlineStr">
        <is>
          <t>2027/3</t>
        </is>
      </c>
      <c r="B337" t="inlineStr">
        <is>
          <t>C/9999D</t>
        </is>
      </c>
      <c r="C337" t="inlineStr">
        <is>
          <t>備標BIM建築</t>
        </is>
      </c>
      <c r="D337" t="inlineStr">
        <is>
          <t>備標</t>
        </is>
      </c>
      <c r="E337" t="inlineStr">
        <is>
          <t>備標</t>
        </is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</row>
    <row r="338">
      <c r="A338" t="inlineStr">
        <is>
          <t>2027/4</t>
        </is>
      </c>
      <c r="B338" t="inlineStr">
        <is>
          <t>C/92103</t>
        </is>
      </c>
      <c r="C338" t="inlineStr">
        <is>
          <t>CQ840 BIM</t>
        </is>
      </c>
      <c r="D338" t="inlineStr">
        <is>
          <t>內部</t>
        </is>
      </c>
      <c r="E338" t="inlineStr">
        <is>
          <t>內案</t>
        </is>
      </c>
      <c r="F338" s="3" t="n">
        <v>119121</v>
      </c>
      <c r="G338" s="3" t="n">
        <v>-20253</v>
      </c>
      <c r="H338" s="3" t="n">
        <v>98868</v>
      </c>
      <c r="I338" s="3" t="n">
        <v>20253</v>
      </c>
      <c r="J338" s="3" t="n">
        <v>0</v>
      </c>
    </row>
    <row r="339">
      <c r="A339" t="inlineStr">
        <is>
          <t>2027/4</t>
        </is>
      </c>
      <c r="B339" t="inlineStr">
        <is>
          <t>C/92202</t>
        </is>
      </c>
      <c r="C339" t="inlineStr">
        <is>
          <t>CF680C BIM</t>
        </is>
      </c>
      <c r="D339" t="inlineStr">
        <is>
          <t>內部</t>
        </is>
      </c>
      <c r="E339" t="inlineStr">
        <is>
          <t>內案</t>
        </is>
      </c>
      <c r="F339" s="3" t="n">
        <v>51149</v>
      </c>
      <c r="G339" s="3" t="n">
        <v>24596</v>
      </c>
      <c r="H339" s="3" t="n">
        <v>75745</v>
      </c>
      <c r="I339" s="3" t="n">
        <v>0</v>
      </c>
      <c r="J339" s="3" t="n">
        <v>0</v>
      </c>
    </row>
    <row r="340">
      <c r="A340" t="inlineStr">
        <is>
          <t>2027/4</t>
        </is>
      </c>
      <c r="B340" t="inlineStr">
        <is>
          <t>C/92203</t>
        </is>
      </c>
      <c r="C340" t="inlineStr">
        <is>
          <t>N－WH BIM</t>
        </is>
      </c>
      <c r="D340" t="inlineStr">
        <is>
          <t>內部</t>
        </is>
      </c>
      <c r="E340" t="inlineStr">
        <is>
          <t>內案</t>
        </is>
      </c>
      <c r="F340" s="3" t="n">
        <v>26206</v>
      </c>
      <c r="G340" s="3" t="n">
        <v>9056</v>
      </c>
      <c r="H340" s="3" t="n">
        <v>35262</v>
      </c>
      <c r="I340" s="3" t="n">
        <v>0</v>
      </c>
      <c r="J340" s="3" t="n">
        <v>75000</v>
      </c>
    </row>
    <row r="341">
      <c r="A341" t="inlineStr">
        <is>
          <t>2027/4</t>
        </is>
      </c>
      <c r="B341" t="inlineStr">
        <is>
          <t>C/92204</t>
        </is>
      </c>
      <c r="C341" t="inlineStr">
        <is>
          <t>國揚吉林機電</t>
        </is>
      </c>
      <c r="D341" t="inlineStr">
        <is>
          <t>內部</t>
        </is>
      </c>
      <c r="E341" t="inlineStr">
        <is>
          <t>內案</t>
        </is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</row>
    <row r="342">
      <c r="A342" t="inlineStr">
        <is>
          <t>2027/4</t>
        </is>
      </c>
      <c r="B342" t="inlineStr">
        <is>
          <t>C/92301</t>
        </is>
      </c>
      <c r="C342" t="inlineStr">
        <is>
          <t>CF670A BIM 土木機電</t>
        </is>
      </c>
      <c r="D342" t="inlineStr">
        <is>
          <t>內部</t>
        </is>
      </c>
      <c r="E342" t="inlineStr">
        <is>
          <t>內案</t>
        </is>
      </c>
      <c r="F342" s="3" t="n">
        <v>27324</v>
      </c>
      <c r="G342" s="3" t="n">
        <v>3138</v>
      </c>
      <c r="H342" s="3" t="n">
        <v>30462</v>
      </c>
      <c r="I342" s="3" t="n">
        <v>0</v>
      </c>
      <c r="J342" s="3" t="n">
        <v>30000</v>
      </c>
    </row>
    <row r="343">
      <c r="A343" t="inlineStr">
        <is>
          <t>2027/4</t>
        </is>
      </c>
      <c r="B343" t="inlineStr">
        <is>
          <t>C/92302</t>
        </is>
      </c>
      <c r="C343" t="inlineStr">
        <is>
          <t>富邦忠孝懷生BIM機電</t>
        </is>
      </c>
      <c r="D343" t="inlineStr">
        <is>
          <t>內部</t>
        </is>
      </c>
      <c r="E343" t="inlineStr">
        <is>
          <t>內案</t>
        </is>
      </c>
      <c r="F343" s="3" t="n">
        <v>52413</v>
      </c>
      <c r="G343" s="3" t="n">
        <v>-2240</v>
      </c>
      <c r="H343" s="3" t="n">
        <v>50173</v>
      </c>
      <c r="I343" s="3" t="n">
        <v>2240</v>
      </c>
      <c r="J343" s="3" t="n">
        <v>0</v>
      </c>
    </row>
    <row r="344">
      <c r="A344" t="inlineStr">
        <is>
          <t>2027/4</t>
        </is>
      </c>
      <c r="B344" t="inlineStr">
        <is>
          <t>C/92303</t>
        </is>
      </c>
      <c r="C344" t="inlineStr">
        <is>
          <t>信義兒福BIM機電</t>
        </is>
      </c>
      <c r="D344" t="inlineStr">
        <is>
          <t>外部</t>
        </is>
      </c>
      <c r="E344" t="inlineStr">
        <is>
          <t>外案</t>
        </is>
      </c>
      <c r="F344" s="3" t="n">
        <v>39310</v>
      </c>
      <c r="G344" s="3" t="n">
        <v>9504</v>
      </c>
      <c r="H344" s="3" t="n">
        <v>48814</v>
      </c>
      <c r="I344" s="3" t="n">
        <v>0</v>
      </c>
      <c r="J344" s="3" t="n">
        <v>0</v>
      </c>
    </row>
    <row r="345">
      <c r="A345" t="inlineStr">
        <is>
          <t>2027/4</t>
        </is>
      </c>
      <c r="B345" t="inlineStr">
        <is>
          <t>C/92304</t>
        </is>
      </c>
      <c r="C345" t="inlineStr">
        <is>
          <t>捷運劍潭站TOD統包BIM機電</t>
        </is>
      </c>
      <c r="D345" t="inlineStr">
        <is>
          <t>內部</t>
        </is>
      </c>
      <c r="E345" t="inlineStr">
        <is>
          <t>內案</t>
        </is>
      </c>
      <c r="F345" s="3" t="n">
        <v>119121</v>
      </c>
      <c r="G345" s="3" t="n">
        <v>12834</v>
      </c>
      <c r="H345" s="3" t="n">
        <v>131955</v>
      </c>
      <c r="I345" s="3" t="n">
        <v>0</v>
      </c>
      <c r="J345" s="3" t="n">
        <v>160000</v>
      </c>
    </row>
    <row r="346">
      <c r="A346" t="inlineStr">
        <is>
          <t>2027/4</t>
        </is>
      </c>
      <c r="B346" t="inlineStr">
        <is>
          <t>C/92401</t>
        </is>
      </c>
      <c r="C346" t="inlineStr">
        <is>
          <t>CJ17 土木機電</t>
        </is>
      </c>
      <c r="D346" t="inlineStr">
        <is>
          <t>內部</t>
        </is>
      </c>
      <c r="E346" t="inlineStr">
        <is>
          <t>內案</t>
        </is>
      </c>
      <c r="F346" s="3" t="n">
        <v>313214</v>
      </c>
      <c r="G346" s="3" t="n">
        <v>151639</v>
      </c>
      <c r="H346" s="3" t="n">
        <v>464853</v>
      </c>
      <c r="I346" s="3" t="n">
        <v>0</v>
      </c>
      <c r="J346" s="3" t="n">
        <v>431668</v>
      </c>
    </row>
    <row r="347">
      <c r="A347" t="inlineStr">
        <is>
          <t>2027/4</t>
        </is>
      </c>
      <c r="B347" t="inlineStr">
        <is>
          <t>C/92501</t>
        </is>
      </c>
      <c r="C347" t="inlineStr">
        <is>
          <t>CF670 BIM土木機電</t>
        </is>
      </c>
      <c r="D347" t="inlineStr">
        <is>
          <t>內部</t>
        </is>
      </c>
      <c r="E347" t="inlineStr">
        <is>
          <t>內案</t>
        </is>
      </c>
      <c r="F347" s="3" t="n">
        <v>260801</v>
      </c>
      <c r="G347" s="3" t="n">
        <v>124543</v>
      </c>
      <c r="H347" s="3" t="n">
        <v>385344</v>
      </c>
      <c r="I347" s="3" t="n">
        <v>0</v>
      </c>
      <c r="J347" s="3" t="n">
        <v>60000</v>
      </c>
    </row>
    <row r="348">
      <c r="A348" t="inlineStr">
        <is>
          <t>2027/4</t>
        </is>
      </c>
      <c r="B348" t="inlineStr">
        <is>
          <t>C/92502</t>
        </is>
      </c>
      <c r="C348" t="inlineStr">
        <is>
          <t>擎邦-聯發科機電</t>
        </is>
      </c>
      <c r="D348" t="inlineStr">
        <is>
          <t>外部</t>
        </is>
      </c>
      <c r="E348" t="inlineStr">
        <is>
          <t>外案</t>
        </is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</row>
    <row r="349">
      <c r="A349" t="inlineStr">
        <is>
          <t>2027/4</t>
        </is>
      </c>
      <c r="B349" t="inlineStr">
        <is>
          <t>C/92503</t>
        </is>
      </c>
      <c r="C349" t="inlineStr">
        <is>
          <t>CF690B BIM土木</t>
        </is>
      </c>
      <c r="D349" t="inlineStr">
        <is>
          <t>外部</t>
        </is>
      </c>
      <c r="E349" t="inlineStr">
        <is>
          <t>外案</t>
        </is>
      </c>
      <c r="F349" s="3" t="n">
        <v>39236</v>
      </c>
      <c r="G349" s="3" t="n">
        <v>16360</v>
      </c>
      <c r="H349" s="3" t="n">
        <v>55596</v>
      </c>
      <c r="I349" s="3" t="n">
        <v>0</v>
      </c>
      <c r="J349" s="3" t="n">
        <v>0</v>
      </c>
    </row>
    <row r="350">
      <c r="A350" t="inlineStr">
        <is>
          <t>2027/4</t>
        </is>
      </c>
      <c r="B350" t="inlineStr">
        <is>
          <t>C/92504</t>
        </is>
      </c>
      <c r="C350" t="inlineStr">
        <is>
          <t>擎邦-員榮總醫院BIM</t>
        </is>
      </c>
      <c r="D350" t="inlineStr">
        <is>
          <t>外部</t>
        </is>
      </c>
      <c r="E350" t="inlineStr">
        <is>
          <t>外案</t>
        </is>
      </c>
      <c r="F350" s="3" t="n">
        <v>160813</v>
      </c>
      <c r="G350" s="3" t="n">
        <v>78946</v>
      </c>
      <c r="H350" s="3" t="n">
        <v>239759</v>
      </c>
      <c r="I350" s="3" t="n">
        <v>0</v>
      </c>
      <c r="J350" s="3" t="n">
        <v>0</v>
      </c>
    </row>
    <row r="351">
      <c r="A351" t="inlineStr">
        <is>
          <t>2027/4</t>
        </is>
      </c>
      <c r="B351" t="inlineStr">
        <is>
          <t>C/92601</t>
        </is>
      </c>
      <c r="C351" t="inlineStr">
        <is>
          <t>擎邦-聯發科銅鑼</t>
        </is>
      </c>
      <c r="D351" t="inlineStr">
        <is>
          <t>外部</t>
        </is>
      </c>
      <c r="E351" t="inlineStr">
        <is>
          <t>外案</t>
        </is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</row>
    <row r="352">
      <c r="A352" t="inlineStr">
        <is>
          <t>2027/4</t>
        </is>
      </c>
      <c r="B352" t="inlineStr">
        <is>
          <t>C/92602</t>
        </is>
      </c>
      <c r="C352" t="inlineStr">
        <is>
          <t>擎邦-CF624F機電(CF690B機電)</t>
        </is>
      </c>
      <c r="D352" t="inlineStr">
        <is>
          <t>外部</t>
        </is>
      </c>
      <c r="E352" t="inlineStr">
        <is>
          <t>外案</t>
        </is>
      </c>
      <c r="F352" s="3" t="n">
        <v>238242</v>
      </c>
      <c r="G352" s="3" t="n">
        <v>111167</v>
      </c>
      <c r="H352" s="3" t="n">
        <v>349409</v>
      </c>
      <c r="I352" s="3" t="n">
        <v>0</v>
      </c>
      <c r="J352" s="3" t="n">
        <v>0</v>
      </c>
    </row>
    <row r="353">
      <c r="A353" t="inlineStr">
        <is>
          <t>2027/4</t>
        </is>
      </c>
      <c r="B353" t="inlineStr">
        <is>
          <t>C/92603</t>
        </is>
      </c>
      <c r="C353" t="inlineStr">
        <is>
          <t>中華郵政信維機電</t>
        </is>
      </c>
      <c r="D353" t="inlineStr">
        <is>
          <t>內部</t>
        </is>
      </c>
      <c r="E353" t="inlineStr">
        <is>
          <t>內案</t>
        </is>
      </c>
      <c r="F353" s="3" t="n">
        <v>238242</v>
      </c>
      <c r="G353" s="3" t="n">
        <v>116967</v>
      </c>
      <c r="H353" s="3" t="n">
        <v>355209</v>
      </c>
      <c r="I353" s="3" t="n">
        <v>0</v>
      </c>
      <c r="J353" s="3" t="n">
        <v>392000</v>
      </c>
    </row>
    <row r="354">
      <c r="A354" t="inlineStr">
        <is>
          <t>2027/4</t>
        </is>
      </c>
      <c r="B354" t="inlineStr">
        <is>
          <t>C/91001_26</t>
        </is>
      </c>
      <c r="C354" t="inlineStr">
        <is>
          <t>新取得BIM土木機電-26年</t>
        </is>
      </c>
      <c r="D354" t="inlineStr">
        <is>
          <t>內部</t>
        </is>
      </c>
      <c r="E354" t="inlineStr">
        <is>
          <t>內案</t>
        </is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</row>
    <row r="355">
      <c r="A355" t="inlineStr">
        <is>
          <t>2027/4</t>
        </is>
      </c>
      <c r="B355" t="inlineStr">
        <is>
          <t>C/91000_27</t>
        </is>
      </c>
      <c r="C355" t="inlineStr">
        <is>
          <t>新取得BIM土木機電-26年</t>
        </is>
      </c>
      <c r="D355" t="inlineStr">
        <is>
          <t>內部</t>
        </is>
      </c>
      <c r="E355" t="inlineStr">
        <is>
          <t>內案</t>
        </is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</row>
    <row r="356">
      <c r="A356" t="inlineStr">
        <is>
          <t>2027/4</t>
        </is>
      </c>
      <c r="B356" t="inlineStr">
        <is>
          <t>C/91001_27</t>
        </is>
      </c>
      <c r="C356" t="inlineStr">
        <is>
          <t>新取得BIM土木機電-27年</t>
        </is>
      </c>
      <c r="D356" t="inlineStr">
        <is>
          <t>內部</t>
        </is>
      </c>
      <c r="E356" t="inlineStr">
        <is>
          <t>內案</t>
        </is>
      </c>
      <c r="F356" s="3" t="n">
        <v>119121</v>
      </c>
      <c r="G356" s="3" t="n">
        <v>59645</v>
      </c>
      <c r="H356" s="3" t="n">
        <v>178766</v>
      </c>
      <c r="I356" s="3" t="n">
        <v>0</v>
      </c>
      <c r="J356" s="3" t="n">
        <v>0</v>
      </c>
    </row>
    <row r="357">
      <c r="A357" t="inlineStr">
        <is>
          <t>2027/4</t>
        </is>
      </c>
      <c r="B357" t="inlineStr">
        <is>
          <t>C/91002_27</t>
        </is>
      </c>
      <c r="C357" t="inlineStr">
        <is>
          <t>新取得BIM土木機電-28年</t>
        </is>
      </c>
      <c r="D357" t="inlineStr">
        <is>
          <t>內部</t>
        </is>
      </c>
      <c r="E357" t="inlineStr">
        <is>
          <t>內案</t>
        </is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</row>
    <row r="358">
      <c r="A358" t="inlineStr">
        <is>
          <t>2027/4</t>
        </is>
      </c>
      <c r="B358" t="inlineStr">
        <is>
          <t>C/91003_27</t>
        </is>
      </c>
      <c r="C358" t="inlineStr">
        <is>
          <t>新取得BIM土木機電-29年</t>
        </is>
      </c>
      <c r="D358" t="inlineStr">
        <is>
          <t>內部</t>
        </is>
      </c>
      <c r="E358" t="inlineStr">
        <is>
          <t>內案</t>
        </is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</row>
    <row r="359">
      <c r="A359" t="inlineStr">
        <is>
          <t>2027/4</t>
        </is>
      </c>
      <c r="B359" t="inlineStr">
        <is>
          <t>C/91004_27</t>
        </is>
      </c>
      <c r="C359" t="inlineStr">
        <is>
          <t>新取得BIM土木機電-30年</t>
        </is>
      </c>
      <c r="D359" t="inlineStr">
        <is>
          <t>內部</t>
        </is>
      </c>
      <c r="E359" t="inlineStr">
        <is>
          <t>內案</t>
        </is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</row>
    <row r="360">
      <c r="A360" t="inlineStr">
        <is>
          <t>2027/4</t>
        </is>
      </c>
      <c r="B360" t="inlineStr">
        <is>
          <t>C/91005_27</t>
        </is>
      </c>
      <c r="C360" t="inlineStr">
        <is>
          <t>新取得BIM土木機電-31年</t>
        </is>
      </c>
      <c r="D360" t="inlineStr">
        <is>
          <t>內部</t>
        </is>
      </c>
      <c r="E360" t="inlineStr">
        <is>
          <t>內案</t>
        </is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</row>
    <row r="361">
      <c r="A361" t="inlineStr">
        <is>
          <t>2027/4</t>
        </is>
      </c>
      <c r="B361" t="inlineStr">
        <is>
          <t>C/9210F</t>
        </is>
      </c>
      <c r="C361" t="inlineStr">
        <is>
          <t>南港機廠BIM建築</t>
        </is>
      </c>
      <c r="D361" t="inlineStr">
        <is>
          <t>外部</t>
        </is>
      </c>
      <c r="E361" t="inlineStr">
        <is>
          <t>外案</t>
        </is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</row>
    <row r="362">
      <c r="A362" t="inlineStr">
        <is>
          <t>2027/4</t>
        </is>
      </c>
      <c r="B362" t="inlineStr">
        <is>
          <t>C/9210G</t>
        </is>
      </c>
      <c r="C362" t="inlineStr">
        <is>
          <t>富邦忠孝懷生BIM建築</t>
        </is>
      </c>
      <c r="D362" t="inlineStr">
        <is>
          <t>內部</t>
        </is>
      </c>
      <c r="E362" t="inlineStr">
        <is>
          <t>內案</t>
        </is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</row>
    <row r="363">
      <c r="A363" t="inlineStr">
        <is>
          <t>2027/4</t>
        </is>
      </c>
      <c r="B363" t="inlineStr">
        <is>
          <t>C/9220E</t>
        </is>
      </c>
      <c r="C363" t="inlineStr">
        <is>
          <t>柏鴻北士科 C/9100A-22A</t>
        </is>
      </c>
      <c r="D363" t="inlineStr">
        <is>
          <t>內部</t>
        </is>
      </c>
      <c r="E363" t="inlineStr">
        <is>
          <t>內案</t>
        </is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</row>
    <row r="364">
      <c r="A364" t="inlineStr">
        <is>
          <t>2027/4</t>
        </is>
      </c>
      <c r="B364" t="inlineStr">
        <is>
          <t>C/9230A</t>
        </is>
      </c>
      <c r="C364" t="inlineStr">
        <is>
          <t>信義兒福BIM建築</t>
        </is>
      </c>
      <c r="D364" t="inlineStr">
        <is>
          <t>外部</t>
        </is>
      </c>
      <c r="E364" t="inlineStr">
        <is>
          <t>外案</t>
        </is>
      </c>
      <c r="F364" s="3" t="n">
        <v>114541</v>
      </c>
      <c r="G364" s="3" t="n">
        <v>45483</v>
      </c>
      <c r="H364" s="3" t="n">
        <v>160024</v>
      </c>
      <c r="I364" s="3" t="n">
        <v>0</v>
      </c>
      <c r="J364" s="3" t="n">
        <v>316500</v>
      </c>
    </row>
    <row r="365">
      <c r="A365" t="inlineStr">
        <is>
          <t>2027/4</t>
        </is>
      </c>
      <c r="B365" t="inlineStr">
        <is>
          <t>C/9230B</t>
        </is>
      </c>
      <c r="C365" t="inlineStr">
        <is>
          <t>北捷劍潭TOD</t>
        </is>
      </c>
      <c r="D365" t="inlineStr">
        <is>
          <t>內部</t>
        </is>
      </c>
      <c r="E365" t="inlineStr">
        <is>
          <t>內案</t>
        </is>
      </c>
      <c r="F365" s="3" t="n">
        <v>125579</v>
      </c>
      <c r="G365" s="3" t="n">
        <v>69531</v>
      </c>
      <c r="H365" s="3" t="n">
        <v>195110</v>
      </c>
      <c r="I365" s="3" t="n">
        <v>0</v>
      </c>
      <c r="J365" s="3" t="n">
        <v>150000</v>
      </c>
    </row>
    <row r="366">
      <c r="A366" t="inlineStr">
        <is>
          <t>2027/4</t>
        </is>
      </c>
      <c r="B366" t="inlineStr">
        <is>
          <t>C/9230C</t>
        </is>
      </c>
      <c r="C366" t="inlineStr">
        <is>
          <t>慶城福華-23年</t>
        </is>
      </c>
      <c r="D366" t="inlineStr">
        <is>
          <t>內部</t>
        </is>
      </c>
      <c r="E366" t="inlineStr">
        <is>
          <t>內案</t>
        </is>
      </c>
      <c r="F366" s="3" t="n">
        <v>1051</v>
      </c>
      <c r="G366" s="3" t="n">
        <v>572</v>
      </c>
      <c r="H366" s="3" t="n">
        <v>1623</v>
      </c>
      <c r="I366" s="3" t="n">
        <v>0</v>
      </c>
      <c r="J366" s="3" t="n">
        <v>0</v>
      </c>
    </row>
    <row r="367">
      <c r="A367" t="inlineStr">
        <is>
          <t>2027/4</t>
        </is>
      </c>
      <c r="B367" t="inlineStr">
        <is>
          <t>C/9240A</t>
        </is>
      </c>
      <c r="C367" t="inlineStr">
        <is>
          <t>南港國際一</t>
        </is>
      </c>
      <c r="D367" t="inlineStr">
        <is>
          <t>內部</t>
        </is>
      </c>
      <c r="E367" t="inlineStr">
        <is>
          <t>內案</t>
        </is>
      </c>
      <c r="F367" s="3" t="n">
        <v>65309</v>
      </c>
      <c r="G367" s="3" t="n">
        <v>57547</v>
      </c>
      <c r="H367" s="3" t="n">
        <v>122856</v>
      </c>
      <c r="I367" s="3" t="n">
        <v>0</v>
      </c>
      <c r="J367" s="3" t="n">
        <v>0</v>
      </c>
    </row>
    <row r="368">
      <c r="A368" t="inlineStr">
        <is>
          <t>2027/4</t>
        </is>
      </c>
      <c r="B368" t="inlineStr">
        <is>
          <t>C/9240B</t>
        </is>
      </c>
      <c r="C368" t="inlineStr">
        <is>
          <t xml:space="preserve">台中洲際BIM建築 </t>
        </is>
      </c>
      <c r="D368" t="inlineStr">
        <is>
          <t>內部</t>
        </is>
      </c>
      <c r="E368" t="inlineStr">
        <is>
          <t>內案</t>
        </is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</row>
    <row r="369">
      <c r="A369" t="inlineStr">
        <is>
          <t>2027/4</t>
        </is>
      </c>
      <c r="B369" t="inlineStr">
        <is>
          <t>C/9240C</t>
        </is>
      </c>
      <c r="C369" t="inlineStr">
        <is>
          <t xml:space="preserve">大直金泰BIM建築 </t>
        </is>
      </c>
      <c r="D369" t="inlineStr">
        <is>
          <t>內部</t>
        </is>
      </c>
      <c r="E369" t="inlineStr">
        <is>
          <t>內案</t>
        </is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</row>
    <row r="370">
      <c r="A370" t="inlineStr">
        <is>
          <t>2027/4</t>
        </is>
      </c>
      <c r="B370" t="inlineStr">
        <is>
          <t>C/9240D</t>
        </is>
      </c>
      <c r="C370" t="inlineStr">
        <is>
          <t xml:space="preserve">板橋新雅BIM建築 </t>
        </is>
      </c>
      <c r="D370" t="inlineStr">
        <is>
          <t>內部</t>
        </is>
      </c>
      <c r="E370" t="inlineStr">
        <is>
          <t>內案</t>
        </is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</row>
    <row r="371">
      <c r="A371" t="inlineStr">
        <is>
          <t>2027/4</t>
        </is>
      </c>
      <c r="B371" t="inlineStr">
        <is>
          <t>C/9240E</t>
        </is>
      </c>
      <c r="C371" t="inlineStr">
        <is>
          <t xml:space="preserve">板橋四維BIM建築 </t>
        </is>
      </c>
      <c r="D371" t="inlineStr">
        <is>
          <t>內部</t>
        </is>
      </c>
      <c r="E371" t="inlineStr">
        <is>
          <t>內案</t>
        </is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</row>
    <row r="372">
      <c r="A372" t="inlineStr">
        <is>
          <t>2027/4</t>
        </is>
      </c>
      <c r="B372" t="inlineStr">
        <is>
          <t>C/9240F</t>
        </is>
      </c>
      <c r="C372" t="inlineStr">
        <is>
          <t>台中新美齊</t>
        </is>
      </c>
      <c r="D372" t="inlineStr">
        <is>
          <t>內部</t>
        </is>
      </c>
      <c r="E372" t="inlineStr">
        <is>
          <t>內案</t>
        </is>
      </c>
      <c r="F372" s="3" t="n">
        <v>1051</v>
      </c>
      <c r="G372" s="3" t="n">
        <v>922</v>
      </c>
      <c r="H372" s="3" t="n">
        <v>1973</v>
      </c>
      <c r="I372" s="3" t="n">
        <v>0</v>
      </c>
      <c r="J372" s="3" t="n">
        <v>0</v>
      </c>
    </row>
    <row r="373">
      <c r="A373" t="inlineStr">
        <is>
          <t>2027/4</t>
        </is>
      </c>
      <c r="B373" t="inlineStr">
        <is>
          <t>C/9240G</t>
        </is>
      </c>
      <c r="C373" t="inlineStr">
        <is>
          <t>晨禎片片山閑</t>
        </is>
      </c>
      <c r="D373" t="inlineStr">
        <is>
          <t>外部</t>
        </is>
      </c>
      <c r="E373" t="inlineStr">
        <is>
          <t>外案</t>
        </is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</row>
    <row r="374">
      <c r="A374" t="inlineStr">
        <is>
          <t>2027/4</t>
        </is>
      </c>
      <c r="B374" t="inlineStr">
        <is>
          <t>C/9250A</t>
        </is>
      </c>
      <c r="C374" t="inlineStr">
        <is>
          <t>南機二區BIM服務</t>
        </is>
      </c>
      <c r="D374" t="inlineStr">
        <is>
          <t>內部</t>
        </is>
      </c>
      <c r="E374" t="inlineStr">
        <is>
          <t>內案</t>
        </is>
      </c>
      <c r="F374" s="3" t="n">
        <v>725044</v>
      </c>
      <c r="G374" s="3" t="n">
        <v>180064</v>
      </c>
      <c r="H374" s="3" t="n">
        <v>905108</v>
      </c>
      <c r="I374" s="3" t="n">
        <v>0</v>
      </c>
      <c r="J374" s="3" t="n">
        <v>730000</v>
      </c>
    </row>
    <row r="375">
      <c r="A375" t="inlineStr">
        <is>
          <t>2027/4</t>
        </is>
      </c>
      <c r="B375" t="inlineStr">
        <is>
          <t>C/9250B</t>
        </is>
      </c>
      <c r="C375" t="inlineStr">
        <is>
          <t>璞真南港總部</t>
        </is>
      </c>
      <c r="D375" t="inlineStr">
        <is>
          <t>內部</t>
        </is>
      </c>
      <c r="E375" t="inlineStr">
        <is>
          <t>內案</t>
        </is>
      </c>
      <c r="F375" s="3" t="n">
        <v>1752</v>
      </c>
      <c r="G375" s="3" t="n">
        <v>873</v>
      </c>
      <c r="H375" s="3" t="n">
        <v>2625</v>
      </c>
      <c r="I375" s="3" t="n">
        <v>0</v>
      </c>
      <c r="J375" s="3" t="n">
        <v>0</v>
      </c>
    </row>
    <row r="376">
      <c r="A376" t="inlineStr">
        <is>
          <t>2027/4</t>
        </is>
      </c>
      <c r="B376" t="inlineStr">
        <is>
          <t>C/9250C</t>
        </is>
      </c>
      <c r="C376" t="inlineStr">
        <is>
          <t>築源南港</t>
        </is>
      </c>
      <c r="D376" t="inlineStr">
        <is>
          <t>內部</t>
        </is>
      </c>
      <c r="E376" t="inlineStr">
        <is>
          <t>內案</t>
        </is>
      </c>
      <c r="F376" s="3" t="n">
        <v>114191</v>
      </c>
      <c r="G376" s="3" t="n">
        <v>53378</v>
      </c>
      <c r="H376" s="3" t="n">
        <v>167569</v>
      </c>
      <c r="I376" s="3" t="n">
        <v>0</v>
      </c>
      <c r="J376" s="3" t="n">
        <v>160000</v>
      </c>
    </row>
    <row r="377">
      <c r="A377" t="inlineStr">
        <is>
          <t>2027/4</t>
        </is>
      </c>
      <c r="B377" t="inlineStr">
        <is>
          <t>C/9250D</t>
        </is>
      </c>
      <c r="C377" t="inlineStr">
        <is>
          <t>南港三重</t>
        </is>
      </c>
      <c r="D377" t="inlineStr">
        <is>
          <t>內部</t>
        </is>
      </c>
      <c r="E377" t="inlineStr">
        <is>
          <t>內案</t>
        </is>
      </c>
      <c r="F377" s="3" t="n">
        <v>72143</v>
      </c>
      <c r="G377" s="3" t="n">
        <v>32882</v>
      </c>
      <c r="H377" s="3" t="n">
        <v>105025</v>
      </c>
      <c r="I377" s="3" t="n">
        <v>0</v>
      </c>
      <c r="J377" s="3" t="n">
        <v>175000</v>
      </c>
    </row>
    <row r="378">
      <c r="A378" t="inlineStr">
        <is>
          <t>2027/4</t>
        </is>
      </c>
      <c r="B378" t="inlineStr">
        <is>
          <t>C/9260A</t>
        </is>
      </c>
      <c r="C378" t="inlineStr">
        <is>
          <t>台中楓溪</t>
        </is>
      </c>
      <c r="D378" t="inlineStr">
        <is>
          <t>內部</t>
        </is>
      </c>
      <c r="E378" t="inlineStr">
        <is>
          <t>內案</t>
        </is>
      </c>
      <c r="F378" s="3" t="n">
        <v>114541</v>
      </c>
      <c r="G378" s="3" t="n">
        <v>52181</v>
      </c>
      <c r="H378" s="3" t="n">
        <v>166722</v>
      </c>
      <c r="I378" s="3" t="n">
        <v>0</v>
      </c>
      <c r="J378" s="3" t="n">
        <v>160000</v>
      </c>
    </row>
    <row r="379">
      <c r="A379" t="inlineStr">
        <is>
          <t>2027/4</t>
        </is>
      </c>
      <c r="B379" t="inlineStr">
        <is>
          <t>C/9260B</t>
        </is>
      </c>
      <c r="C379" t="inlineStr">
        <is>
          <t>樺輝永鑄</t>
        </is>
      </c>
      <c r="D379" t="inlineStr">
        <is>
          <t>內部</t>
        </is>
      </c>
      <c r="E379" t="inlineStr">
        <is>
          <t>內案</t>
        </is>
      </c>
      <c r="F379" s="3" t="n">
        <v>176346</v>
      </c>
      <c r="G379" s="3" t="n">
        <v>34381</v>
      </c>
      <c r="H379" s="3" t="n">
        <v>210727</v>
      </c>
      <c r="I379" s="3" t="n">
        <v>0</v>
      </c>
      <c r="J379" s="3" t="n">
        <v>160000</v>
      </c>
    </row>
    <row r="380">
      <c r="A380" t="inlineStr">
        <is>
          <t>2027/4</t>
        </is>
      </c>
      <c r="B380" t="inlineStr">
        <is>
          <t>C/9260C</t>
        </is>
      </c>
      <c r="C380" t="inlineStr">
        <is>
          <t>中華郵政信維</t>
        </is>
      </c>
      <c r="D380" t="inlineStr">
        <is>
          <t>內部</t>
        </is>
      </c>
      <c r="E380" t="inlineStr">
        <is>
          <t>內案</t>
        </is>
      </c>
      <c r="F380" s="3" t="n">
        <v>115242</v>
      </c>
      <c r="G380" s="3" t="n">
        <v>49783</v>
      </c>
      <c r="H380" s="3" t="n">
        <v>165025</v>
      </c>
      <c r="I380" s="3" t="n">
        <v>0</v>
      </c>
      <c r="J380" s="3" t="n">
        <v>262500</v>
      </c>
    </row>
    <row r="381">
      <c r="A381" t="inlineStr">
        <is>
          <t>2027/4</t>
        </is>
      </c>
      <c r="B381" t="inlineStr">
        <is>
          <t>C/9260D</t>
        </is>
      </c>
      <c r="C381" t="inlineStr">
        <is>
          <t>大安復興</t>
        </is>
      </c>
      <c r="D381" t="inlineStr">
        <is>
          <t>內部</t>
        </is>
      </c>
      <c r="E381" t="inlineStr">
        <is>
          <t>內案</t>
        </is>
      </c>
      <c r="F381" s="3" t="n">
        <v>61806</v>
      </c>
      <c r="G381" s="3" t="n">
        <v>24556</v>
      </c>
      <c r="H381" s="3" t="n">
        <v>86362</v>
      </c>
      <c r="I381" s="3" t="n">
        <v>0</v>
      </c>
      <c r="J381" s="3" t="n">
        <v>85000</v>
      </c>
    </row>
    <row r="382">
      <c r="A382" t="inlineStr">
        <is>
          <t>2027/4</t>
        </is>
      </c>
      <c r="B382" t="inlineStr">
        <is>
          <t>C/9100B_26</t>
        </is>
      </c>
      <c r="C382" t="inlineStr">
        <is>
          <t>新取得BIM建築-26年</t>
        </is>
      </c>
      <c r="D382" t="inlineStr">
        <is>
          <t>內部</t>
        </is>
      </c>
      <c r="E382" t="inlineStr">
        <is>
          <t>內案</t>
        </is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</row>
    <row r="383">
      <c r="A383" t="inlineStr">
        <is>
          <t>2027/4</t>
        </is>
      </c>
      <c r="B383" t="inlineStr">
        <is>
          <t>C/9100A_27</t>
        </is>
      </c>
      <c r="C383" t="inlineStr">
        <is>
          <t>新取得BIM建築-26年</t>
        </is>
      </c>
      <c r="D383" t="inlineStr">
        <is>
          <t>內部</t>
        </is>
      </c>
      <c r="E383" t="inlineStr">
        <is>
          <t>內案</t>
        </is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</row>
    <row r="384">
      <c r="A384" t="inlineStr">
        <is>
          <t>2027/4</t>
        </is>
      </c>
      <c r="B384" t="inlineStr">
        <is>
          <t>C/9100B_27</t>
        </is>
      </c>
      <c r="C384" t="inlineStr">
        <is>
          <t>新取得BIM建築-27年</t>
        </is>
      </c>
      <c r="D384" t="inlineStr">
        <is>
          <t>內部</t>
        </is>
      </c>
      <c r="E384" t="inlineStr">
        <is>
          <t>內案</t>
        </is>
      </c>
      <c r="F384" s="3" t="n">
        <v>570951</v>
      </c>
      <c r="G384" s="3" t="n">
        <v>216112</v>
      </c>
      <c r="H384" s="3" t="n">
        <v>787063</v>
      </c>
      <c r="I384" s="3" t="n">
        <v>0</v>
      </c>
      <c r="J384" s="3" t="n">
        <v>875000</v>
      </c>
    </row>
    <row r="385">
      <c r="A385" t="inlineStr">
        <is>
          <t>2027/4</t>
        </is>
      </c>
      <c r="B385" t="inlineStr">
        <is>
          <t>C/9100C_27</t>
        </is>
      </c>
      <c r="C385" t="inlineStr">
        <is>
          <t>新取得BIM建築-28年</t>
        </is>
      </c>
      <c r="D385" t="inlineStr">
        <is>
          <t>內部</t>
        </is>
      </c>
      <c r="E385" t="inlineStr">
        <is>
          <t>內案</t>
        </is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</row>
    <row r="386">
      <c r="A386" t="inlineStr">
        <is>
          <t>2027/4</t>
        </is>
      </c>
      <c r="B386" t="inlineStr">
        <is>
          <t>C/9100D_27</t>
        </is>
      </c>
      <c r="C386" t="inlineStr">
        <is>
          <t>新取得BIM建築-29年</t>
        </is>
      </c>
      <c r="D386" t="inlineStr">
        <is>
          <t>內部</t>
        </is>
      </c>
      <c r="E386" t="inlineStr">
        <is>
          <t>內案</t>
        </is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</row>
    <row r="387">
      <c r="A387" t="inlineStr">
        <is>
          <t>2027/4</t>
        </is>
      </c>
      <c r="B387" t="inlineStr">
        <is>
          <t>C/9100E_27</t>
        </is>
      </c>
      <c r="C387" t="inlineStr">
        <is>
          <t>新取得BIM建築-30年</t>
        </is>
      </c>
      <c r="D387" t="inlineStr">
        <is>
          <t>內部</t>
        </is>
      </c>
      <c r="E387" t="inlineStr">
        <is>
          <t>內案</t>
        </is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</row>
    <row r="388">
      <c r="A388" t="inlineStr">
        <is>
          <t>2027/4</t>
        </is>
      </c>
      <c r="B388" t="inlineStr">
        <is>
          <t>C/9100F_27</t>
        </is>
      </c>
      <c r="C388" t="inlineStr">
        <is>
          <t>新取得BIM建築-31年</t>
        </is>
      </c>
      <c r="D388" t="inlineStr">
        <is>
          <t>內部</t>
        </is>
      </c>
      <c r="E388" t="inlineStr">
        <is>
          <t>內案</t>
        </is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</row>
    <row r="389">
      <c r="A389" t="inlineStr">
        <is>
          <t>2027/4</t>
        </is>
      </c>
      <c r="B389" t="inlineStr">
        <is>
          <t>C/99992</t>
        </is>
      </c>
      <c r="C389" t="inlineStr">
        <is>
          <t>雜項BIM土木機電</t>
        </is>
      </c>
      <c r="D389" t="inlineStr">
        <is>
          <t>內/無</t>
        </is>
      </c>
      <c r="E389" t="inlineStr">
        <is>
          <t>雜項</t>
        </is>
      </c>
      <c r="F389" s="3" t="n">
        <v>23824</v>
      </c>
      <c r="G389" s="3" t="n">
        <v>5676</v>
      </c>
      <c r="H389" s="3" t="n">
        <v>29500</v>
      </c>
      <c r="I389" s="3" t="n">
        <v>0</v>
      </c>
      <c r="J389" s="3" t="n">
        <v>29500</v>
      </c>
    </row>
    <row r="390">
      <c r="A390" t="inlineStr">
        <is>
          <t>2027/4</t>
        </is>
      </c>
      <c r="B390" t="inlineStr">
        <is>
          <t>C/99992-1</t>
        </is>
      </c>
      <c r="C390" t="inlineStr">
        <is>
          <t>雜項BIM土木機電(外案收入)</t>
        </is>
      </c>
      <c r="D390" t="inlineStr">
        <is>
          <t>外部</t>
        </is>
      </c>
      <c r="E390" t="inlineStr">
        <is>
          <t>外案</t>
        </is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</row>
    <row r="391">
      <c r="A391" t="inlineStr">
        <is>
          <t>2027/4</t>
        </is>
      </c>
      <c r="B391" t="inlineStr">
        <is>
          <t>C/99993</t>
        </is>
      </c>
      <c r="C391" t="inlineStr">
        <is>
          <t>備標BIM土木機電</t>
        </is>
      </c>
      <c r="D391" t="inlineStr">
        <is>
          <t>備標</t>
        </is>
      </c>
      <c r="E391" t="inlineStr">
        <is>
          <t>備標</t>
        </is>
      </c>
      <c r="F391" s="3" t="n">
        <v>59561</v>
      </c>
      <c r="G391" s="3" t="n">
        <v>-59561</v>
      </c>
      <c r="H391" s="3" t="n">
        <v>0</v>
      </c>
      <c r="I391" s="3" t="n">
        <v>0</v>
      </c>
      <c r="J391" s="3" t="n">
        <v>0</v>
      </c>
    </row>
    <row r="392">
      <c r="A392" t="inlineStr">
        <is>
          <t>2027/4</t>
        </is>
      </c>
      <c r="B392" t="inlineStr">
        <is>
          <t>C/9999B</t>
        </is>
      </c>
      <c r="C392" t="inlineStr">
        <is>
          <t>雜項BIM建築</t>
        </is>
      </c>
      <c r="D392" t="inlineStr">
        <is>
          <t>內/無</t>
        </is>
      </c>
      <c r="E392" t="inlineStr">
        <is>
          <t>雜項</t>
        </is>
      </c>
      <c r="F392" s="3" t="n">
        <v>226979</v>
      </c>
      <c r="G392" s="3" t="n">
        <v>1038021</v>
      </c>
      <c r="H392" s="3" t="n">
        <v>1265000</v>
      </c>
      <c r="I392" s="3" t="n">
        <v>0</v>
      </c>
      <c r="J392" s="3" t="n">
        <v>1265000</v>
      </c>
    </row>
    <row r="393">
      <c r="A393" t="inlineStr">
        <is>
          <t>2027/4</t>
        </is>
      </c>
      <c r="B393" t="inlineStr">
        <is>
          <t>C/9999D</t>
        </is>
      </c>
      <c r="C393" t="inlineStr">
        <is>
          <t>備標BIM建築</t>
        </is>
      </c>
      <c r="D393" t="inlineStr">
        <is>
          <t>備標</t>
        </is>
      </c>
      <c r="E393" t="inlineStr">
        <is>
          <t>備標</t>
        </is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</row>
    <row r="394">
      <c r="A394" t="inlineStr">
        <is>
          <t>2027/5</t>
        </is>
      </c>
      <c r="B394" t="inlineStr">
        <is>
          <t>C/92103</t>
        </is>
      </c>
      <c r="C394" t="inlineStr">
        <is>
          <t>CQ840 BIM</t>
        </is>
      </c>
      <c r="D394" t="inlineStr">
        <is>
          <t>內部</t>
        </is>
      </c>
      <c r="E394" t="inlineStr">
        <is>
          <t>內案</t>
        </is>
      </c>
      <c r="F394" s="3" t="n">
        <v>119121</v>
      </c>
      <c r="G394" s="3" t="n">
        <v>-20253</v>
      </c>
      <c r="H394" s="3" t="n">
        <v>98868</v>
      </c>
      <c r="I394" s="3" t="n">
        <v>20253</v>
      </c>
      <c r="J394" s="3" t="n">
        <v>0</v>
      </c>
    </row>
    <row r="395">
      <c r="A395" t="inlineStr">
        <is>
          <t>2027/5</t>
        </is>
      </c>
      <c r="B395" t="inlineStr">
        <is>
          <t>C/92202</t>
        </is>
      </c>
      <c r="C395" t="inlineStr">
        <is>
          <t>CF680C BIM</t>
        </is>
      </c>
      <c r="D395" t="inlineStr">
        <is>
          <t>內部</t>
        </is>
      </c>
      <c r="E395" t="inlineStr">
        <is>
          <t>內案</t>
        </is>
      </c>
      <c r="F395" s="3" t="n">
        <v>51149</v>
      </c>
      <c r="G395" s="3" t="n">
        <v>24597</v>
      </c>
      <c r="H395" s="3" t="n">
        <v>75746</v>
      </c>
      <c r="I395" s="3" t="n">
        <v>0</v>
      </c>
      <c r="J395" s="3" t="n">
        <v>0</v>
      </c>
    </row>
    <row r="396">
      <c r="A396" t="inlineStr">
        <is>
          <t>2027/5</t>
        </is>
      </c>
      <c r="B396" t="inlineStr">
        <is>
          <t>C/92203</t>
        </is>
      </c>
      <c r="C396" t="inlineStr">
        <is>
          <t>N－WH BIM</t>
        </is>
      </c>
      <c r="D396" t="inlineStr">
        <is>
          <t>內部</t>
        </is>
      </c>
      <c r="E396" t="inlineStr">
        <is>
          <t>內案</t>
        </is>
      </c>
      <c r="F396" s="3" t="n">
        <v>26206</v>
      </c>
      <c r="G396" s="3" t="n">
        <v>9056</v>
      </c>
      <c r="H396" s="3" t="n">
        <v>35262</v>
      </c>
      <c r="I396" s="3" t="n">
        <v>0</v>
      </c>
      <c r="J396" s="3" t="n">
        <v>75000</v>
      </c>
    </row>
    <row r="397">
      <c r="A397" t="inlineStr">
        <is>
          <t>2027/5</t>
        </is>
      </c>
      <c r="B397" t="inlineStr">
        <is>
          <t>C/92204</t>
        </is>
      </c>
      <c r="C397" t="inlineStr">
        <is>
          <t>國揚吉林機電</t>
        </is>
      </c>
      <c r="D397" t="inlineStr">
        <is>
          <t>內部</t>
        </is>
      </c>
      <c r="E397" t="inlineStr">
        <is>
          <t>內案</t>
        </is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</row>
    <row r="398">
      <c r="A398" t="inlineStr">
        <is>
          <t>2027/5</t>
        </is>
      </c>
      <c r="B398" t="inlineStr">
        <is>
          <t>C/92301</t>
        </is>
      </c>
      <c r="C398" t="inlineStr">
        <is>
          <t>CF670A BIM 土木機電</t>
        </is>
      </c>
      <c r="D398" t="inlineStr">
        <is>
          <t>內部</t>
        </is>
      </c>
      <c r="E398" t="inlineStr">
        <is>
          <t>內案</t>
        </is>
      </c>
      <c r="F398" s="3" t="n">
        <v>92841</v>
      </c>
      <c r="G398" s="3" t="n">
        <v>10664</v>
      </c>
      <c r="H398" s="3" t="n">
        <v>103505</v>
      </c>
      <c r="I398" s="3" t="n">
        <v>0</v>
      </c>
      <c r="J398" s="3" t="n">
        <v>30000</v>
      </c>
    </row>
    <row r="399">
      <c r="A399" t="inlineStr">
        <is>
          <t>2027/5</t>
        </is>
      </c>
      <c r="B399" t="inlineStr">
        <is>
          <t>C/92302</t>
        </is>
      </c>
      <c r="C399" t="inlineStr">
        <is>
          <t>富邦忠孝懷生BIM機電</t>
        </is>
      </c>
      <c r="D399" t="inlineStr">
        <is>
          <t>內部</t>
        </is>
      </c>
      <c r="E399" t="inlineStr">
        <is>
          <t>內案</t>
        </is>
      </c>
      <c r="F399" s="3" t="n">
        <v>52413</v>
      </c>
      <c r="G399" s="3" t="n">
        <v>-2239</v>
      </c>
      <c r="H399" s="3" t="n">
        <v>50174</v>
      </c>
      <c r="I399" s="3" t="n">
        <v>2239</v>
      </c>
      <c r="J399" s="3" t="n">
        <v>0</v>
      </c>
    </row>
    <row r="400">
      <c r="A400" t="inlineStr">
        <is>
          <t>2027/5</t>
        </is>
      </c>
      <c r="B400" t="inlineStr">
        <is>
          <t>C/92303</t>
        </is>
      </c>
      <c r="C400" t="inlineStr">
        <is>
          <t>信義兒福BIM機電</t>
        </is>
      </c>
      <c r="D400" t="inlineStr">
        <is>
          <t>外部</t>
        </is>
      </c>
      <c r="E400" t="inlineStr">
        <is>
          <t>外案</t>
        </is>
      </c>
      <c r="F400" s="3" t="n">
        <v>39310</v>
      </c>
      <c r="G400" s="3" t="n">
        <v>9504</v>
      </c>
      <c r="H400" s="3" t="n">
        <v>48814</v>
      </c>
      <c r="I400" s="3" t="n">
        <v>0</v>
      </c>
      <c r="J400" s="3" t="n">
        <v>0</v>
      </c>
    </row>
    <row r="401">
      <c r="A401" t="inlineStr">
        <is>
          <t>2027/5</t>
        </is>
      </c>
      <c r="B401" t="inlineStr">
        <is>
          <t>C/92304</t>
        </is>
      </c>
      <c r="C401" t="inlineStr">
        <is>
          <t>捷運劍潭站TOD統包BIM機電</t>
        </is>
      </c>
      <c r="D401" t="inlineStr">
        <is>
          <t>內部</t>
        </is>
      </c>
      <c r="E401" t="inlineStr">
        <is>
          <t>內案</t>
        </is>
      </c>
      <c r="F401" s="3" t="n">
        <v>119121</v>
      </c>
      <c r="G401" s="3" t="n">
        <v>12834</v>
      </c>
      <c r="H401" s="3" t="n">
        <v>131955</v>
      </c>
      <c r="I401" s="3" t="n">
        <v>0</v>
      </c>
      <c r="J401" s="3" t="n">
        <v>160000</v>
      </c>
    </row>
    <row r="402">
      <c r="A402" t="inlineStr">
        <is>
          <t>2027/5</t>
        </is>
      </c>
      <c r="B402" t="inlineStr">
        <is>
          <t>C/92401</t>
        </is>
      </c>
      <c r="C402" t="inlineStr">
        <is>
          <t>CJ17 土木機電</t>
        </is>
      </c>
      <c r="D402" t="inlineStr">
        <is>
          <t>內部</t>
        </is>
      </c>
      <c r="E402" t="inlineStr">
        <is>
          <t>內案</t>
        </is>
      </c>
      <c r="F402" s="3" t="n">
        <v>51149</v>
      </c>
      <c r="G402" s="3" t="n">
        <v>24764</v>
      </c>
      <c r="H402" s="3" t="n">
        <v>75913</v>
      </c>
      <c r="I402" s="3" t="n">
        <v>0</v>
      </c>
      <c r="J402" s="3" t="n">
        <v>431668</v>
      </c>
    </row>
    <row r="403">
      <c r="A403" t="inlineStr">
        <is>
          <t>2027/5</t>
        </is>
      </c>
      <c r="B403" t="inlineStr">
        <is>
          <t>C/92501</t>
        </is>
      </c>
      <c r="C403" t="inlineStr">
        <is>
          <t>CF670 BIM土木機電</t>
        </is>
      </c>
      <c r="D403" t="inlineStr">
        <is>
          <t>內部</t>
        </is>
      </c>
      <c r="E403" t="inlineStr">
        <is>
          <t>內案</t>
        </is>
      </c>
      <c r="F403" s="3" t="n">
        <v>248889</v>
      </c>
      <c r="G403" s="3" t="n">
        <v>118855</v>
      </c>
      <c r="H403" s="3" t="n">
        <v>367744</v>
      </c>
      <c r="I403" s="3" t="n">
        <v>0</v>
      </c>
      <c r="J403" s="3" t="n">
        <v>900000</v>
      </c>
    </row>
    <row r="404">
      <c r="A404" t="inlineStr">
        <is>
          <t>2027/5</t>
        </is>
      </c>
      <c r="B404" t="inlineStr">
        <is>
          <t>C/92502</t>
        </is>
      </c>
      <c r="C404" t="inlineStr">
        <is>
          <t>擎邦-聯發科機電</t>
        </is>
      </c>
      <c r="D404" t="inlineStr">
        <is>
          <t>外部</t>
        </is>
      </c>
      <c r="E404" t="inlineStr">
        <is>
          <t>外案</t>
        </is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</row>
    <row r="405">
      <c r="A405" t="inlineStr">
        <is>
          <t>2027/5</t>
        </is>
      </c>
      <c r="B405" t="inlineStr">
        <is>
          <t>C/92503</t>
        </is>
      </c>
      <c r="C405" t="inlineStr">
        <is>
          <t>CF690B BIM土木</t>
        </is>
      </c>
      <c r="D405" t="inlineStr">
        <is>
          <t>外部</t>
        </is>
      </c>
      <c r="E405" t="inlineStr">
        <is>
          <t>外案</t>
        </is>
      </c>
      <c r="F405" s="3" t="n">
        <v>39236</v>
      </c>
      <c r="G405" s="3" t="n">
        <v>16360</v>
      </c>
      <c r="H405" s="3" t="n">
        <v>55596</v>
      </c>
      <c r="I405" s="3" t="n">
        <v>0</v>
      </c>
      <c r="J405" s="3" t="n">
        <v>0</v>
      </c>
    </row>
    <row r="406">
      <c r="A406" t="inlineStr">
        <is>
          <t>2027/5</t>
        </is>
      </c>
      <c r="B406" t="inlineStr">
        <is>
          <t>C/92504</t>
        </is>
      </c>
      <c r="C406" t="inlineStr">
        <is>
          <t>擎邦-員榮總醫院BIM</t>
        </is>
      </c>
      <c r="D406" t="inlineStr">
        <is>
          <t>外部</t>
        </is>
      </c>
      <c r="E406" t="inlineStr">
        <is>
          <t>外案</t>
        </is>
      </c>
      <c r="F406" s="3" t="n">
        <v>160813</v>
      </c>
      <c r="G406" s="3" t="n">
        <v>78946</v>
      </c>
      <c r="H406" s="3" t="n">
        <v>239759</v>
      </c>
      <c r="I406" s="3" t="n">
        <v>0</v>
      </c>
      <c r="J406" s="3" t="n">
        <v>1316000</v>
      </c>
    </row>
    <row r="407">
      <c r="A407" t="inlineStr">
        <is>
          <t>2027/5</t>
        </is>
      </c>
      <c r="B407" t="inlineStr">
        <is>
          <t>C/92601</t>
        </is>
      </c>
      <c r="C407" t="inlineStr">
        <is>
          <t>擎邦-聯發科銅鑼</t>
        </is>
      </c>
      <c r="D407" t="inlineStr">
        <is>
          <t>外部</t>
        </is>
      </c>
      <c r="E407" t="inlineStr">
        <is>
          <t>外案</t>
        </is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</row>
    <row r="408">
      <c r="A408" t="inlineStr">
        <is>
          <t>2027/5</t>
        </is>
      </c>
      <c r="B408" t="inlineStr">
        <is>
          <t>C/92602</t>
        </is>
      </c>
      <c r="C408" t="inlineStr">
        <is>
          <t>擎邦-CF624F機電(CF690B機電)</t>
        </is>
      </c>
      <c r="D408" t="inlineStr">
        <is>
          <t>外部</t>
        </is>
      </c>
      <c r="E408" t="inlineStr">
        <is>
          <t>外案</t>
        </is>
      </c>
      <c r="F408" s="3" t="n">
        <v>238242</v>
      </c>
      <c r="G408" s="3" t="n">
        <v>111167</v>
      </c>
      <c r="H408" s="3" t="n">
        <v>349409</v>
      </c>
      <c r="I408" s="3" t="n">
        <v>0</v>
      </c>
      <c r="J408" s="3" t="n">
        <v>0</v>
      </c>
    </row>
    <row r="409">
      <c r="A409" t="inlineStr">
        <is>
          <t>2027/5</t>
        </is>
      </c>
      <c r="B409" t="inlineStr">
        <is>
          <t>C/92603</t>
        </is>
      </c>
      <c r="C409" t="inlineStr">
        <is>
          <t>中華郵政信維機電</t>
        </is>
      </c>
      <c r="D409" t="inlineStr">
        <is>
          <t>內部</t>
        </is>
      </c>
      <c r="E409" t="inlineStr">
        <is>
          <t>內案</t>
        </is>
      </c>
      <c r="F409" s="3" t="n">
        <v>238242</v>
      </c>
      <c r="G409" s="3" t="n">
        <v>116968</v>
      </c>
      <c r="H409" s="3" t="n">
        <v>355210</v>
      </c>
      <c r="I409" s="3" t="n">
        <v>0</v>
      </c>
      <c r="J409" s="3" t="n">
        <v>392000</v>
      </c>
    </row>
    <row r="410">
      <c r="A410" t="inlineStr">
        <is>
          <t>2027/5</t>
        </is>
      </c>
      <c r="B410" t="inlineStr">
        <is>
          <t>C/91001_26</t>
        </is>
      </c>
      <c r="C410" t="inlineStr">
        <is>
          <t>新取得BIM土木機電-26年</t>
        </is>
      </c>
      <c r="D410" t="inlineStr">
        <is>
          <t>內部</t>
        </is>
      </c>
      <c r="E410" t="inlineStr">
        <is>
          <t>內案</t>
        </is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</row>
    <row r="411">
      <c r="A411" t="inlineStr">
        <is>
          <t>2027/5</t>
        </is>
      </c>
      <c r="B411" t="inlineStr">
        <is>
          <t>C/91000_27</t>
        </is>
      </c>
      <c r="C411" t="inlineStr">
        <is>
          <t>新取得BIM土木機電-26年</t>
        </is>
      </c>
      <c r="D411" t="inlineStr">
        <is>
          <t>內部</t>
        </is>
      </c>
      <c r="E411" t="inlineStr">
        <is>
          <t>內案</t>
        </is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</row>
    <row r="412">
      <c r="A412" t="inlineStr">
        <is>
          <t>2027/5</t>
        </is>
      </c>
      <c r="B412" t="inlineStr">
        <is>
          <t>C/91001_27</t>
        </is>
      </c>
      <c r="C412" t="inlineStr">
        <is>
          <t>新取得BIM土木機電-27年</t>
        </is>
      </c>
      <c r="D412" t="inlineStr">
        <is>
          <t>內部</t>
        </is>
      </c>
      <c r="E412" t="inlineStr">
        <is>
          <t>內案</t>
        </is>
      </c>
      <c r="F412" s="3" t="n">
        <v>357363</v>
      </c>
      <c r="G412" s="3" t="n">
        <v>178935</v>
      </c>
      <c r="H412" s="3" t="n">
        <v>536298</v>
      </c>
      <c r="I412" s="3" t="n">
        <v>0</v>
      </c>
      <c r="J412" s="3" t="n">
        <v>0</v>
      </c>
    </row>
    <row r="413">
      <c r="A413" t="inlineStr">
        <is>
          <t>2027/5</t>
        </is>
      </c>
      <c r="B413" t="inlineStr">
        <is>
          <t>C/91002_27</t>
        </is>
      </c>
      <c r="C413" t="inlineStr">
        <is>
          <t>新取得BIM土木機電-28年</t>
        </is>
      </c>
      <c r="D413" t="inlineStr">
        <is>
          <t>內部</t>
        </is>
      </c>
      <c r="E413" t="inlineStr">
        <is>
          <t>內案</t>
        </is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</row>
    <row r="414">
      <c r="A414" t="inlineStr">
        <is>
          <t>2027/5</t>
        </is>
      </c>
      <c r="B414" t="inlineStr">
        <is>
          <t>C/91003_27</t>
        </is>
      </c>
      <c r="C414" t="inlineStr">
        <is>
          <t>新取得BIM土木機電-29年</t>
        </is>
      </c>
      <c r="D414" t="inlineStr">
        <is>
          <t>內部</t>
        </is>
      </c>
      <c r="E414" t="inlineStr">
        <is>
          <t>內案</t>
        </is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</row>
    <row r="415">
      <c r="A415" t="inlineStr">
        <is>
          <t>2027/5</t>
        </is>
      </c>
      <c r="B415" t="inlineStr">
        <is>
          <t>C/91004_27</t>
        </is>
      </c>
      <c r="C415" t="inlineStr">
        <is>
          <t>新取得BIM土木機電-30年</t>
        </is>
      </c>
      <c r="D415" t="inlineStr">
        <is>
          <t>內部</t>
        </is>
      </c>
      <c r="E415" t="inlineStr">
        <is>
          <t>內案</t>
        </is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</row>
    <row r="416">
      <c r="A416" t="inlineStr">
        <is>
          <t>2027/5</t>
        </is>
      </c>
      <c r="B416" t="inlineStr">
        <is>
          <t>C/91005_27</t>
        </is>
      </c>
      <c r="C416" t="inlineStr">
        <is>
          <t>新取得BIM土木機電-31年</t>
        </is>
      </c>
      <c r="D416" t="inlineStr">
        <is>
          <t>內部</t>
        </is>
      </c>
      <c r="E416" t="inlineStr">
        <is>
          <t>內案</t>
        </is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</row>
    <row r="417">
      <c r="A417" t="inlineStr">
        <is>
          <t>2027/5</t>
        </is>
      </c>
      <c r="B417" t="inlineStr">
        <is>
          <t>C/9210F</t>
        </is>
      </c>
      <c r="C417" t="inlineStr">
        <is>
          <t>南港機廠BIM建築</t>
        </is>
      </c>
      <c r="D417" t="inlineStr">
        <is>
          <t>外部</t>
        </is>
      </c>
      <c r="E417" t="inlineStr">
        <is>
          <t>外案</t>
        </is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</row>
    <row r="418">
      <c r="A418" t="inlineStr">
        <is>
          <t>2027/5</t>
        </is>
      </c>
      <c r="B418" t="inlineStr">
        <is>
          <t>C/9210G</t>
        </is>
      </c>
      <c r="C418" t="inlineStr">
        <is>
          <t>富邦忠孝懷生BIM建築</t>
        </is>
      </c>
      <c r="D418" t="inlineStr">
        <is>
          <t>內部</t>
        </is>
      </c>
      <c r="E418" t="inlineStr">
        <is>
          <t>內案</t>
        </is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</row>
    <row r="419">
      <c r="A419" t="inlineStr">
        <is>
          <t>2027/5</t>
        </is>
      </c>
      <c r="B419" t="inlineStr">
        <is>
          <t>C/9220E</t>
        </is>
      </c>
      <c r="C419" t="inlineStr">
        <is>
          <t>柏鴻北士科 C/9100A-22A</t>
        </is>
      </c>
      <c r="D419" t="inlineStr">
        <is>
          <t>內部</t>
        </is>
      </c>
      <c r="E419" t="inlineStr">
        <is>
          <t>內案</t>
        </is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</row>
    <row r="420">
      <c r="A420" t="inlineStr">
        <is>
          <t>2027/5</t>
        </is>
      </c>
      <c r="B420" t="inlineStr">
        <is>
          <t>C/9230A</t>
        </is>
      </c>
      <c r="C420" t="inlineStr">
        <is>
          <t>信義兒福BIM建築</t>
        </is>
      </c>
      <c r="D420" t="inlineStr">
        <is>
          <t>外部</t>
        </is>
      </c>
      <c r="E420" t="inlineStr">
        <is>
          <t>外案</t>
        </is>
      </c>
      <c r="F420" s="3" t="n">
        <v>144844</v>
      </c>
      <c r="G420" s="3" t="n">
        <v>57516</v>
      </c>
      <c r="H420" s="3" t="n">
        <v>202360</v>
      </c>
      <c r="I420" s="3" t="n">
        <v>0</v>
      </c>
      <c r="J420" s="3" t="n">
        <v>0</v>
      </c>
    </row>
    <row r="421">
      <c r="A421" t="inlineStr">
        <is>
          <t>2027/5</t>
        </is>
      </c>
      <c r="B421" t="inlineStr">
        <is>
          <t>C/9230B</t>
        </is>
      </c>
      <c r="C421" t="inlineStr">
        <is>
          <t>北捷劍潭TOD</t>
        </is>
      </c>
      <c r="D421" t="inlineStr">
        <is>
          <t>內部</t>
        </is>
      </c>
      <c r="E421" t="inlineStr">
        <is>
          <t>內案</t>
        </is>
      </c>
      <c r="F421" s="3" t="n">
        <v>145545</v>
      </c>
      <c r="G421" s="3" t="n">
        <v>80585</v>
      </c>
      <c r="H421" s="3" t="n">
        <v>226130</v>
      </c>
      <c r="I421" s="3" t="n">
        <v>0</v>
      </c>
      <c r="J421" s="3" t="n">
        <v>150000</v>
      </c>
    </row>
    <row r="422">
      <c r="A422" t="inlineStr">
        <is>
          <t>2027/5</t>
        </is>
      </c>
      <c r="B422" t="inlineStr">
        <is>
          <t>C/9230C</t>
        </is>
      </c>
      <c r="C422" t="inlineStr">
        <is>
          <t>慶城福華-23年</t>
        </is>
      </c>
      <c r="D422" t="inlineStr">
        <is>
          <t>內部</t>
        </is>
      </c>
      <c r="E422" t="inlineStr">
        <is>
          <t>內案</t>
        </is>
      </c>
      <c r="F422" s="3" t="n">
        <v>1051</v>
      </c>
      <c r="G422" s="3" t="n">
        <v>571</v>
      </c>
      <c r="H422" s="3" t="n">
        <v>1622</v>
      </c>
      <c r="I422" s="3" t="n">
        <v>0</v>
      </c>
      <c r="J422" s="3" t="n">
        <v>0</v>
      </c>
    </row>
    <row r="423">
      <c r="A423" t="inlineStr">
        <is>
          <t>2027/5</t>
        </is>
      </c>
      <c r="B423" t="inlineStr">
        <is>
          <t>C/9240A</t>
        </is>
      </c>
      <c r="C423" t="inlineStr">
        <is>
          <t>南港國際一</t>
        </is>
      </c>
      <c r="D423" t="inlineStr">
        <is>
          <t>內部</t>
        </is>
      </c>
      <c r="E423" t="inlineStr">
        <is>
          <t>內案</t>
        </is>
      </c>
      <c r="F423" s="3" t="n">
        <v>64109</v>
      </c>
      <c r="G423" s="3" t="n">
        <v>56489</v>
      </c>
      <c r="H423" s="3" t="n">
        <v>120598</v>
      </c>
      <c r="I423" s="3" t="n">
        <v>0</v>
      </c>
      <c r="J423" s="3" t="n">
        <v>320000</v>
      </c>
    </row>
    <row r="424">
      <c r="A424" t="inlineStr">
        <is>
          <t>2027/5</t>
        </is>
      </c>
      <c r="B424" t="inlineStr">
        <is>
          <t>C/9240B</t>
        </is>
      </c>
      <c r="C424" t="inlineStr">
        <is>
          <t xml:space="preserve">台中洲際BIM建築 </t>
        </is>
      </c>
      <c r="D424" t="inlineStr">
        <is>
          <t>內部</t>
        </is>
      </c>
      <c r="E424" t="inlineStr">
        <is>
          <t>內案</t>
        </is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</row>
    <row r="425">
      <c r="A425" t="inlineStr">
        <is>
          <t>2027/5</t>
        </is>
      </c>
      <c r="B425" t="inlineStr">
        <is>
          <t>C/9240C</t>
        </is>
      </c>
      <c r="C425" t="inlineStr">
        <is>
          <t xml:space="preserve">大直金泰BIM建築 </t>
        </is>
      </c>
      <c r="D425" t="inlineStr">
        <is>
          <t>內部</t>
        </is>
      </c>
      <c r="E425" t="inlineStr">
        <is>
          <t>內案</t>
        </is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</row>
    <row r="426">
      <c r="A426" t="inlineStr">
        <is>
          <t>2027/5</t>
        </is>
      </c>
      <c r="B426" t="inlineStr">
        <is>
          <t>C/9240D</t>
        </is>
      </c>
      <c r="C426" t="inlineStr">
        <is>
          <t xml:space="preserve">板橋新雅BIM建築 </t>
        </is>
      </c>
      <c r="D426" t="inlineStr">
        <is>
          <t>內部</t>
        </is>
      </c>
      <c r="E426" t="inlineStr">
        <is>
          <t>內案</t>
        </is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</row>
    <row r="427">
      <c r="A427" t="inlineStr">
        <is>
          <t>2027/5</t>
        </is>
      </c>
      <c r="B427" t="inlineStr">
        <is>
          <t>C/9240E</t>
        </is>
      </c>
      <c r="C427" t="inlineStr">
        <is>
          <t xml:space="preserve">板橋四維BIM建築 </t>
        </is>
      </c>
      <c r="D427" t="inlineStr">
        <is>
          <t>內部</t>
        </is>
      </c>
      <c r="E427" t="inlineStr">
        <is>
          <t>內案</t>
        </is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</row>
    <row r="428">
      <c r="A428" t="inlineStr">
        <is>
          <t>2027/5</t>
        </is>
      </c>
      <c r="B428" t="inlineStr">
        <is>
          <t>C/9240F</t>
        </is>
      </c>
      <c r="C428" t="inlineStr">
        <is>
          <t>台中新美齊</t>
        </is>
      </c>
      <c r="D428" t="inlineStr">
        <is>
          <t>內部</t>
        </is>
      </c>
      <c r="E428" t="inlineStr">
        <is>
          <t>內案</t>
        </is>
      </c>
      <c r="F428" s="3" t="n">
        <v>1051</v>
      </c>
      <c r="G428" s="3" t="n">
        <v>921</v>
      </c>
      <c r="H428" s="3" t="n">
        <v>1972</v>
      </c>
      <c r="I428" s="3" t="n">
        <v>0</v>
      </c>
      <c r="J428" s="3" t="n">
        <v>0</v>
      </c>
    </row>
    <row r="429">
      <c r="A429" t="inlineStr">
        <is>
          <t>2027/5</t>
        </is>
      </c>
      <c r="B429" t="inlineStr">
        <is>
          <t>C/9240G</t>
        </is>
      </c>
      <c r="C429" t="inlineStr">
        <is>
          <t>晨禎片片山閑</t>
        </is>
      </c>
      <c r="D429" t="inlineStr">
        <is>
          <t>外部</t>
        </is>
      </c>
      <c r="E429" t="inlineStr">
        <is>
          <t>外案</t>
        </is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</row>
    <row r="430">
      <c r="A430" t="inlineStr">
        <is>
          <t>2027/5</t>
        </is>
      </c>
      <c r="B430" t="inlineStr">
        <is>
          <t>C/9250A</t>
        </is>
      </c>
      <c r="C430" t="inlineStr">
        <is>
          <t>南機二區BIM服務</t>
        </is>
      </c>
      <c r="D430" t="inlineStr">
        <is>
          <t>內部</t>
        </is>
      </c>
      <c r="E430" t="inlineStr">
        <is>
          <t>內案</t>
        </is>
      </c>
      <c r="F430" s="3" t="n">
        <v>370497</v>
      </c>
      <c r="G430" s="3" t="n">
        <v>92013</v>
      </c>
      <c r="H430" s="3" t="n">
        <v>462510</v>
      </c>
      <c r="I430" s="3" t="n">
        <v>0</v>
      </c>
      <c r="J430" s="3" t="n">
        <v>330000</v>
      </c>
    </row>
    <row r="431">
      <c r="A431" t="inlineStr">
        <is>
          <t>2027/5</t>
        </is>
      </c>
      <c r="B431" t="inlineStr">
        <is>
          <t>C/9250B</t>
        </is>
      </c>
      <c r="C431" t="inlineStr">
        <is>
          <t>璞真南港總部</t>
        </is>
      </c>
      <c r="D431" t="inlineStr">
        <is>
          <t>內部</t>
        </is>
      </c>
      <c r="E431" t="inlineStr">
        <is>
          <t>內案</t>
        </is>
      </c>
      <c r="F431" s="3" t="n">
        <v>16904</v>
      </c>
      <c r="G431" s="3" t="n">
        <v>8427</v>
      </c>
      <c r="H431" s="3" t="n">
        <v>25331</v>
      </c>
      <c r="I431" s="3" t="n">
        <v>0</v>
      </c>
      <c r="J431" s="3" t="n">
        <v>0</v>
      </c>
    </row>
    <row r="432">
      <c r="A432" t="inlineStr">
        <is>
          <t>2027/5</t>
        </is>
      </c>
      <c r="B432" t="inlineStr">
        <is>
          <t>C/9250C</t>
        </is>
      </c>
      <c r="C432" t="inlineStr">
        <is>
          <t>築源南港</t>
        </is>
      </c>
      <c r="D432" t="inlineStr">
        <is>
          <t>內部</t>
        </is>
      </c>
      <c r="E432" t="inlineStr">
        <is>
          <t>內案</t>
        </is>
      </c>
      <c r="F432" s="3" t="n">
        <v>129343</v>
      </c>
      <c r="G432" s="3" t="n">
        <v>60460</v>
      </c>
      <c r="H432" s="3" t="n">
        <v>189803</v>
      </c>
      <c r="I432" s="3" t="n">
        <v>0</v>
      </c>
      <c r="J432" s="3" t="n">
        <v>160000</v>
      </c>
    </row>
    <row r="433">
      <c r="A433" t="inlineStr">
        <is>
          <t>2027/5</t>
        </is>
      </c>
      <c r="B433" t="inlineStr">
        <is>
          <t>C/9250D</t>
        </is>
      </c>
      <c r="C433" t="inlineStr">
        <is>
          <t>南港三重</t>
        </is>
      </c>
      <c r="D433" t="inlineStr">
        <is>
          <t>內部</t>
        </is>
      </c>
      <c r="E433" t="inlineStr">
        <is>
          <t>內案</t>
        </is>
      </c>
      <c r="F433" s="3" t="n">
        <v>78204</v>
      </c>
      <c r="G433" s="3" t="n">
        <v>35645</v>
      </c>
      <c r="H433" s="3" t="n">
        <v>113849</v>
      </c>
      <c r="I433" s="3" t="n">
        <v>0</v>
      </c>
      <c r="J433" s="3" t="n">
        <v>0</v>
      </c>
    </row>
    <row r="434">
      <c r="A434" t="inlineStr">
        <is>
          <t>2027/5</t>
        </is>
      </c>
      <c r="B434" t="inlineStr">
        <is>
          <t>C/9260A</t>
        </is>
      </c>
      <c r="C434" t="inlineStr">
        <is>
          <t>台中楓溪</t>
        </is>
      </c>
      <c r="D434" t="inlineStr">
        <is>
          <t>內部</t>
        </is>
      </c>
      <c r="E434" t="inlineStr">
        <is>
          <t>內案</t>
        </is>
      </c>
      <c r="F434" s="3" t="n">
        <v>129693</v>
      </c>
      <c r="G434" s="3" t="n">
        <v>59084</v>
      </c>
      <c r="H434" s="3" t="n">
        <v>188777</v>
      </c>
      <c r="I434" s="3" t="n">
        <v>0</v>
      </c>
      <c r="J434" s="3" t="n">
        <v>80000</v>
      </c>
    </row>
    <row r="435">
      <c r="A435" t="inlineStr">
        <is>
          <t>2027/5</t>
        </is>
      </c>
      <c r="B435" t="inlineStr">
        <is>
          <t>C/9260B</t>
        </is>
      </c>
      <c r="C435" t="inlineStr">
        <is>
          <t>樺輝永鑄</t>
        </is>
      </c>
      <c r="D435" t="inlineStr">
        <is>
          <t>內部</t>
        </is>
      </c>
      <c r="E435" t="inlineStr">
        <is>
          <t>內案</t>
        </is>
      </c>
      <c r="F435" s="3" t="n">
        <v>191498</v>
      </c>
      <c r="G435" s="3" t="n">
        <v>37335</v>
      </c>
      <c r="H435" s="3" t="n">
        <v>228833</v>
      </c>
      <c r="I435" s="3" t="n">
        <v>0</v>
      </c>
      <c r="J435" s="3" t="n">
        <v>240000</v>
      </c>
    </row>
    <row r="436">
      <c r="A436" t="inlineStr">
        <is>
          <t>2027/5</t>
        </is>
      </c>
      <c r="B436" t="inlineStr">
        <is>
          <t>C/9260C</t>
        </is>
      </c>
      <c r="C436" t="inlineStr">
        <is>
          <t>中華郵政信維</t>
        </is>
      </c>
      <c r="D436" t="inlineStr">
        <is>
          <t>內部</t>
        </is>
      </c>
      <c r="E436" t="inlineStr">
        <is>
          <t>內案</t>
        </is>
      </c>
      <c r="F436" s="3" t="n">
        <v>130394</v>
      </c>
      <c r="G436" s="3" t="n">
        <v>56328</v>
      </c>
      <c r="H436" s="3" t="n">
        <v>186722</v>
      </c>
      <c r="I436" s="3" t="n">
        <v>0</v>
      </c>
      <c r="J436" s="3" t="n">
        <v>262500</v>
      </c>
    </row>
    <row r="437">
      <c r="A437" t="inlineStr">
        <is>
          <t>2027/5</t>
        </is>
      </c>
      <c r="B437" t="inlineStr">
        <is>
          <t>C/9260D</t>
        </is>
      </c>
      <c r="C437" t="inlineStr">
        <is>
          <t>大安復興</t>
        </is>
      </c>
      <c r="D437" t="inlineStr">
        <is>
          <t>內部</t>
        </is>
      </c>
      <c r="E437" t="inlineStr">
        <is>
          <t>內案</t>
        </is>
      </c>
      <c r="F437" s="3" t="n">
        <v>76958</v>
      </c>
      <c r="G437" s="3" t="n">
        <v>30576</v>
      </c>
      <c r="H437" s="3" t="n">
        <v>107534</v>
      </c>
      <c r="I437" s="3" t="n">
        <v>0</v>
      </c>
      <c r="J437" s="3" t="n">
        <v>85000</v>
      </c>
    </row>
    <row r="438">
      <c r="A438" t="inlineStr">
        <is>
          <t>2027/5</t>
        </is>
      </c>
      <c r="B438" t="inlineStr">
        <is>
          <t>C/9100B_26</t>
        </is>
      </c>
      <c r="C438" t="inlineStr">
        <is>
          <t>新取得BIM建築-26年</t>
        </is>
      </c>
      <c r="D438" t="inlineStr">
        <is>
          <t>內部</t>
        </is>
      </c>
      <c r="E438" t="inlineStr">
        <is>
          <t>內案</t>
        </is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</row>
    <row r="439">
      <c r="A439" t="inlineStr">
        <is>
          <t>2027/5</t>
        </is>
      </c>
      <c r="B439" t="inlineStr">
        <is>
          <t>C/9100A_27</t>
        </is>
      </c>
      <c r="C439" t="inlineStr">
        <is>
          <t>新取得BIM建築-26年</t>
        </is>
      </c>
      <c r="D439" t="inlineStr">
        <is>
          <t>內部</t>
        </is>
      </c>
      <c r="E439" t="inlineStr">
        <is>
          <t>內案</t>
        </is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</row>
    <row r="440">
      <c r="A440" t="inlineStr">
        <is>
          <t>2027/5</t>
        </is>
      </c>
      <c r="B440" t="inlineStr">
        <is>
          <t>C/9100B_27</t>
        </is>
      </c>
      <c r="C440" t="inlineStr">
        <is>
          <t>新取得BIM建築-27年</t>
        </is>
      </c>
      <c r="D440" t="inlineStr">
        <is>
          <t>內部</t>
        </is>
      </c>
      <c r="E440" t="inlineStr">
        <is>
          <t>內案</t>
        </is>
      </c>
      <c r="F440" s="3" t="n">
        <v>882610</v>
      </c>
      <c r="G440" s="3" t="n">
        <v>334079</v>
      </c>
      <c r="H440" s="3" t="n">
        <v>1216689</v>
      </c>
      <c r="I440" s="3" t="n">
        <v>0</v>
      </c>
      <c r="J440" s="3" t="n">
        <v>1137500</v>
      </c>
    </row>
    <row r="441">
      <c r="A441" t="inlineStr">
        <is>
          <t>2027/5</t>
        </is>
      </c>
      <c r="B441" t="inlineStr">
        <is>
          <t>C/9100C_27</t>
        </is>
      </c>
      <c r="C441" t="inlineStr">
        <is>
          <t>新取得BIM建築-28年</t>
        </is>
      </c>
      <c r="D441" t="inlineStr">
        <is>
          <t>內部</t>
        </is>
      </c>
      <c r="E441" t="inlineStr">
        <is>
          <t>內案</t>
        </is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</row>
    <row r="442">
      <c r="A442" t="inlineStr">
        <is>
          <t>2027/5</t>
        </is>
      </c>
      <c r="B442" t="inlineStr">
        <is>
          <t>C/9100D_27</t>
        </is>
      </c>
      <c r="C442" t="inlineStr">
        <is>
          <t>新取得BIM建築-29年</t>
        </is>
      </c>
      <c r="D442" t="inlineStr">
        <is>
          <t>內部</t>
        </is>
      </c>
      <c r="E442" t="inlineStr">
        <is>
          <t>內案</t>
        </is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</row>
    <row r="443">
      <c r="A443" t="inlineStr">
        <is>
          <t>2027/5</t>
        </is>
      </c>
      <c r="B443" t="inlineStr">
        <is>
          <t>C/9100E_27</t>
        </is>
      </c>
      <c r="C443" t="inlineStr">
        <is>
          <t>新取得BIM建築-30年</t>
        </is>
      </c>
      <c r="D443" t="inlineStr">
        <is>
          <t>內部</t>
        </is>
      </c>
      <c r="E443" t="inlineStr">
        <is>
          <t>內案</t>
        </is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</row>
    <row r="444">
      <c r="A444" t="inlineStr">
        <is>
          <t>2027/5</t>
        </is>
      </c>
      <c r="B444" t="inlineStr">
        <is>
          <t>C/9100F_27</t>
        </is>
      </c>
      <c r="C444" t="inlineStr">
        <is>
          <t>新取得BIM建築-31年</t>
        </is>
      </c>
      <c r="D444" t="inlineStr">
        <is>
          <t>內部</t>
        </is>
      </c>
      <c r="E444" t="inlineStr">
        <is>
          <t>內案</t>
        </is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</row>
    <row r="445">
      <c r="A445" t="inlineStr">
        <is>
          <t>2027/5</t>
        </is>
      </c>
      <c r="B445" t="inlineStr">
        <is>
          <t>C/99992</t>
        </is>
      </c>
      <c r="C445" t="inlineStr">
        <is>
          <t>雜項BIM土木機電</t>
        </is>
      </c>
      <c r="D445" t="inlineStr">
        <is>
          <t>內/無</t>
        </is>
      </c>
      <c r="E445" t="inlineStr">
        <is>
          <t>雜項</t>
        </is>
      </c>
      <c r="F445" s="3" t="n">
        <v>23824</v>
      </c>
      <c r="G445" s="3" t="n">
        <v>5676</v>
      </c>
      <c r="H445" s="3" t="n">
        <v>29500</v>
      </c>
      <c r="I445" s="3" t="n">
        <v>0</v>
      </c>
      <c r="J445" s="3" t="n">
        <v>29500</v>
      </c>
    </row>
    <row r="446">
      <c r="A446" t="inlineStr">
        <is>
          <t>2027/5</t>
        </is>
      </c>
      <c r="B446" t="inlineStr">
        <is>
          <t>C/99992-1</t>
        </is>
      </c>
      <c r="C446" t="inlineStr">
        <is>
          <t>雜項BIM土木機電(外案收入)</t>
        </is>
      </c>
      <c r="D446" t="inlineStr">
        <is>
          <t>外部</t>
        </is>
      </c>
      <c r="E446" t="inlineStr">
        <is>
          <t>外案</t>
        </is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</row>
    <row r="447">
      <c r="A447" t="inlineStr">
        <is>
          <t>2027/5</t>
        </is>
      </c>
      <c r="B447" t="inlineStr">
        <is>
          <t>C/99993</t>
        </is>
      </c>
      <c r="C447" t="inlineStr">
        <is>
          <t>備標BIM土木機電</t>
        </is>
      </c>
      <c r="D447" t="inlineStr">
        <is>
          <t>備標</t>
        </is>
      </c>
      <c r="E447" t="inlineStr">
        <is>
          <t>備標</t>
        </is>
      </c>
      <c r="F447" s="3" t="n">
        <v>59561</v>
      </c>
      <c r="G447" s="3" t="n">
        <v>-59561</v>
      </c>
      <c r="H447" s="3" t="n">
        <v>0</v>
      </c>
      <c r="I447" s="3" t="n">
        <v>0</v>
      </c>
      <c r="J447" s="3" t="n">
        <v>0</v>
      </c>
    </row>
    <row r="448">
      <c r="A448" t="inlineStr">
        <is>
          <t>2027/5</t>
        </is>
      </c>
      <c r="B448" t="inlineStr">
        <is>
          <t>C/9999B</t>
        </is>
      </c>
      <c r="C448" t="inlineStr">
        <is>
          <t>雜項BIM建築</t>
        </is>
      </c>
      <c r="D448" t="inlineStr">
        <is>
          <t>內/無</t>
        </is>
      </c>
      <c r="E448" t="inlineStr">
        <is>
          <t>雜項</t>
        </is>
      </c>
      <c r="F448" s="3" t="n">
        <v>113490</v>
      </c>
      <c r="G448" s="3" t="n">
        <v>-113490</v>
      </c>
      <c r="H448" s="3" t="n">
        <v>0</v>
      </c>
      <c r="I448" s="3" t="n">
        <v>0</v>
      </c>
      <c r="J448" s="3" t="n">
        <v>0</v>
      </c>
    </row>
    <row r="449">
      <c r="A449" t="inlineStr">
        <is>
          <t>2027/5</t>
        </is>
      </c>
      <c r="B449" t="inlineStr">
        <is>
          <t>C/9999D</t>
        </is>
      </c>
      <c r="C449" t="inlineStr">
        <is>
          <t>備標BIM建築</t>
        </is>
      </c>
      <c r="D449" t="inlineStr">
        <is>
          <t>備標</t>
        </is>
      </c>
      <c r="E449" t="inlineStr">
        <is>
          <t>備標</t>
        </is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</row>
    <row r="450">
      <c r="A450" t="inlineStr">
        <is>
          <t>2027/6</t>
        </is>
      </c>
      <c r="B450" t="inlineStr">
        <is>
          <t>C/92103</t>
        </is>
      </c>
      <c r="C450" t="inlineStr">
        <is>
          <t>CQ840 BIM</t>
        </is>
      </c>
      <c r="D450" t="inlineStr">
        <is>
          <t>內部</t>
        </is>
      </c>
      <c r="E450" t="inlineStr">
        <is>
          <t>內案</t>
        </is>
      </c>
      <c r="F450" s="3" t="n">
        <v>119121</v>
      </c>
      <c r="G450" s="3" t="n">
        <v>-20253</v>
      </c>
      <c r="H450" s="3" t="n">
        <v>98868</v>
      </c>
      <c r="I450" s="3" t="n">
        <v>20253</v>
      </c>
      <c r="J450" s="3" t="n">
        <v>0</v>
      </c>
    </row>
    <row r="451">
      <c r="A451" t="inlineStr">
        <is>
          <t>2027/6</t>
        </is>
      </c>
      <c r="B451" t="inlineStr">
        <is>
          <t>C/92202</t>
        </is>
      </c>
      <c r="C451" t="inlineStr">
        <is>
          <t>CF680C BIM</t>
        </is>
      </c>
      <c r="D451" t="inlineStr">
        <is>
          <t>內部</t>
        </is>
      </c>
      <c r="E451" t="inlineStr">
        <is>
          <t>內案</t>
        </is>
      </c>
      <c r="F451" s="3" t="n">
        <v>69957</v>
      </c>
      <c r="G451" s="3" t="n">
        <v>33641</v>
      </c>
      <c r="H451" s="3" t="n">
        <v>103598</v>
      </c>
      <c r="I451" s="3" t="n">
        <v>0</v>
      </c>
      <c r="J451" s="3" t="n">
        <v>0</v>
      </c>
    </row>
    <row r="452">
      <c r="A452" t="inlineStr">
        <is>
          <t>2027/6</t>
        </is>
      </c>
      <c r="B452" t="inlineStr">
        <is>
          <t>C/92203</t>
        </is>
      </c>
      <c r="C452" t="inlineStr">
        <is>
          <t>N－WH BIM</t>
        </is>
      </c>
      <c r="D452" t="inlineStr">
        <is>
          <t>內部</t>
        </is>
      </c>
      <c r="E452" t="inlineStr">
        <is>
          <t>內案</t>
        </is>
      </c>
      <c r="F452" s="3" t="n">
        <v>81943</v>
      </c>
      <c r="G452" s="3" t="n">
        <v>28315</v>
      </c>
      <c r="H452" s="3" t="n">
        <v>110258</v>
      </c>
      <c r="I452" s="3" t="n">
        <v>0</v>
      </c>
      <c r="J452" s="3" t="n">
        <v>75000</v>
      </c>
    </row>
    <row r="453">
      <c r="A453" t="inlineStr">
        <is>
          <t>2027/6</t>
        </is>
      </c>
      <c r="B453" t="inlineStr">
        <is>
          <t>C/92204</t>
        </is>
      </c>
      <c r="C453" t="inlineStr">
        <is>
          <t>國揚吉林機電</t>
        </is>
      </c>
      <c r="D453" t="inlineStr">
        <is>
          <t>內部</t>
        </is>
      </c>
      <c r="E453" t="inlineStr">
        <is>
          <t>內案</t>
        </is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</row>
    <row r="454">
      <c r="A454" t="inlineStr">
        <is>
          <t>2027/6</t>
        </is>
      </c>
      <c r="B454" t="inlineStr">
        <is>
          <t>C/92301</t>
        </is>
      </c>
      <c r="C454" t="inlineStr">
        <is>
          <t>CF670A BIM 土木機電</t>
        </is>
      </c>
      <c r="D454" t="inlineStr">
        <is>
          <t>內部</t>
        </is>
      </c>
      <c r="E454" t="inlineStr">
        <is>
          <t>內案</t>
        </is>
      </c>
      <c r="F454" s="3" t="n">
        <v>83061</v>
      </c>
      <c r="G454" s="3" t="n">
        <v>9540</v>
      </c>
      <c r="H454" s="3" t="n">
        <v>92601</v>
      </c>
      <c r="I454" s="3" t="n">
        <v>0</v>
      </c>
      <c r="J454" s="3" t="n">
        <v>30000</v>
      </c>
    </row>
    <row r="455">
      <c r="A455" t="inlineStr">
        <is>
          <t>2027/6</t>
        </is>
      </c>
      <c r="B455" t="inlineStr">
        <is>
          <t>C/92302</t>
        </is>
      </c>
      <c r="C455" t="inlineStr">
        <is>
          <t>富邦忠孝懷生BIM機電</t>
        </is>
      </c>
      <c r="D455" t="inlineStr">
        <is>
          <t>內部</t>
        </is>
      </c>
      <c r="E455" t="inlineStr">
        <is>
          <t>內案</t>
        </is>
      </c>
      <c r="F455" s="3" t="n">
        <v>52413</v>
      </c>
      <c r="G455" s="3" t="n">
        <v>-2240</v>
      </c>
      <c r="H455" s="3" t="n">
        <v>50173</v>
      </c>
      <c r="I455" s="3" t="n">
        <v>2240</v>
      </c>
      <c r="J455" s="3" t="n">
        <v>0</v>
      </c>
    </row>
    <row r="456">
      <c r="A456" t="inlineStr">
        <is>
          <t>2027/6</t>
        </is>
      </c>
      <c r="B456" t="inlineStr">
        <is>
          <t>C/92303</t>
        </is>
      </c>
      <c r="C456" t="inlineStr">
        <is>
          <t>信義兒福BIM機電</t>
        </is>
      </c>
      <c r="D456" t="inlineStr">
        <is>
          <t>外部</t>
        </is>
      </c>
      <c r="E456" t="inlineStr">
        <is>
          <t>外案</t>
        </is>
      </c>
      <c r="F456" s="3" t="n">
        <v>69310</v>
      </c>
      <c r="G456" s="3" t="n">
        <v>16757</v>
      </c>
      <c r="H456" s="3" t="n">
        <v>86067</v>
      </c>
      <c r="I456" s="3" t="n">
        <v>0</v>
      </c>
      <c r="J456" s="3" t="n">
        <v>0</v>
      </c>
    </row>
    <row r="457">
      <c r="A457" t="inlineStr">
        <is>
          <t>2027/6</t>
        </is>
      </c>
      <c r="B457" t="inlineStr">
        <is>
          <t>C/92304</t>
        </is>
      </c>
      <c r="C457" t="inlineStr">
        <is>
          <t>捷運劍潭站TOD統包BIM機電</t>
        </is>
      </c>
      <c r="D457" t="inlineStr">
        <is>
          <t>內部</t>
        </is>
      </c>
      <c r="E457" t="inlineStr">
        <is>
          <t>內案</t>
        </is>
      </c>
      <c r="F457" s="3" t="n">
        <v>139121</v>
      </c>
      <c r="G457" s="3" t="n">
        <v>14989</v>
      </c>
      <c r="H457" s="3" t="n">
        <v>154110</v>
      </c>
      <c r="I457" s="3" t="n">
        <v>0</v>
      </c>
      <c r="J457" s="3" t="n">
        <v>160000</v>
      </c>
    </row>
    <row r="458">
      <c r="A458" t="inlineStr">
        <is>
          <t>2027/6</t>
        </is>
      </c>
      <c r="B458" t="inlineStr">
        <is>
          <t>C/92401</t>
        </is>
      </c>
      <c r="C458" t="inlineStr">
        <is>
          <t>CJ17 土木機電</t>
        </is>
      </c>
      <c r="D458" t="inlineStr">
        <is>
          <t>內部</t>
        </is>
      </c>
      <c r="E458" t="inlineStr">
        <is>
          <t>內案</t>
        </is>
      </c>
      <c r="F458" s="3" t="n">
        <v>81149</v>
      </c>
      <c r="G458" s="3" t="n">
        <v>39287</v>
      </c>
      <c r="H458" s="3" t="n">
        <v>120436</v>
      </c>
      <c r="I458" s="3" t="n">
        <v>0</v>
      </c>
      <c r="J458" s="3" t="n">
        <v>431668</v>
      </c>
    </row>
    <row r="459">
      <c r="A459" t="inlineStr">
        <is>
          <t>2027/6</t>
        </is>
      </c>
      <c r="B459" t="inlineStr">
        <is>
          <t>C/92501</t>
        </is>
      </c>
      <c r="C459" t="inlineStr">
        <is>
          <t>CF670 BIM土木機電</t>
        </is>
      </c>
      <c r="D459" t="inlineStr">
        <is>
          <t>內部</t>
        </is>
      </c>
      <c r="E459" t="inlineStr">
        <is>
          <t>內案</t>
        </is>
      </c>
      <c r="F459" s="3" t="n">
        <v>504468</v>
      </c>
      <c r="G459" s="3" t="n">
        <v>240903</v>
      </c>
      <c r="H459" s="3" t="n">
        <v>745371</v>
      </c>
      <c r="I459" s="3" t="n">
        <v>0</v>
      </c>
      <c r="J459" s="3" t="n">
        <v>60000</v>
      </c>
    </row>
    <row r="460">
      <c r="A460" t="inlineStr">
        <is>
          <t>2027/6</t>
        </is>
      </c>
      <c r="B460" t="inlineStr">
        <is>
          <t>C/92502</t>
        </is>
      </c>
      <c r="C460" t="inlineStr">
        <is>
          <t>擎邦-聯發科機電</t>
        </is>
      </c>
      <c r="D460" t="inlineStr">
        <is>
          <t>外部</t>
        </is>
      </c>
      <c r="E460" t="inlineStr">
        <is>
          <t>外案</t>
        </is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</row>
    <row r="461">
      <c r="A461" t="inlineStr">
        <is>
          <t>2027/6</t>
        </is>
      </c>
      <c r="B461" t="inlineStr">
        <is>
          <t>C/92503</t>
        </is>
      </c>
      <c r="C461" t="inlineStr">
        <is>
          <t>CF690B BIM土木</t>
        </is>
      </c>
      <c r="D461" t="inlineStr">
        <is>
          <t>外部</t>
        </is>
      </c>
      <c r="E461" t="inlineStr">
        <is>
          <t>外案</t>
        </is>
      </c>
      <c r="F461" s="3" t="n">
        <v>59236</v>
      </c>
      <c r="G461" s="3" t="n">
        <v>24700</v>
      </c>
      <c r="H461" s="3" t="n">
        <v>83936</v>
      </c>
      <c r="I461" s="3" t="n">
        <v>0</v>
      </c>
      <c r="J461" s="3" t="n">
        <v>0</v>
      </c>
    </row>
    <row r="462">
      <c r="A462" t="inlineStr">
        <is>
          <t>2027/6</t>
        </is>
      </c>
      <c r="B462" t="inlineStr">
        <is>
          <t>C/92504</t>
        </is>
      </c>
      <c r="C462" t="inlineStr">
        <is>
          <t>擎邦-員榮總醫院BIM</t>
        </is>
      </c>
      <c r="D462" t="inlineStr">
        <is>
          <t>外部</t>
        </is>
      </c>
      <c r="E462" t="inlineStr">
        <is>
          <t>外案</t>
        </is>
      </c>
      <c r="F462" s="3" t="n">
        <v>50000</v>
      </c>
      <c r="G462" s="3" t="n">
        <v>24545</v>
      </c>
      <c r="H462" s="3" t="n">
        <v>74545</v>
      </c>
      <c r="I462" s="3" t="n">
        <v>0</v>
      </c>
      <c r="J462" s="3" t="n">
        <v>0</v>
      </c>
    </row>
    <row r="463">
      <c r="A463" t="inlineStr">
        <is>
          <t>2027/6</t>
        </is>
      </c>
      <c r="B463" t="inlineStr">
        <is>
          <t>C/92601</t>
        </is>
      </c>
      <c r="C463" t="inlineStr">
        <is>
          <t>擎邦-聯發科銅鑼</t>
        </is>
      </c>
      <c r="D463" t="inlineStr">
        <is>
          <t>外部</t>
        </is>
      </c>
      <c r="E463" t="inlineStr">
        <is>
          <t>外案</t>
        </is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</row>
    <row r="464">
      <c r="A464" t="inlineStr">
        <is>
          <t>2027/6</t>
        </is>
      </c>
      <c r="B464" t="inlineStr">
        <is>
          <t>C/92602</t>
        </is>
      </c>
      <c r="C464" t="inlineStr">
        <is>
          <t>擎邦-CF624F機電(CF690B機電)</t>
        </is>
      </c>
      <c r="D464" t="inlineStr">
        <is>
          <t>外部</t>
        </is>
      </c>
      <c r="E464" t="inlineStr">
        <is>
          <t>外案</t>
        </is>
      </c>
      <c r="F464" s="3" t="n">
        <v>238242</v>
      </c>
      <c r="G464" s="3" t="n">
        <v>111167</v>
      </c>
      <c r="H464" s="3" t="n">
        <v>349409</v>
      </c>
      <c r="I464" s="3" t="n">
        <v>0</v>
      </c>
      <c r="J464" s="3" t="n">
        <v>0</v>
      </c>
    </row>
    <row r="465">
      <c r="A465" t="inlineStr">
        <is>
          <t>2027/6</t>
        </is>
      </c>
      <c r="B465" t="inlineStr">
        <is>
          <t>C/92603</t>
        </is>
      </c>
      <c r="C465" t="inlineStr">
        <is>
          <t>中華郵政信維機電</t>
        </is>
      </c>
      <c r="D465" t="inlineStr">
        <is>
          <t>內部</t>
        </is>
      </c>
      <c r="E465" t="inlineStr">
        <is>
          <t>內案</t>
        </is>
      </c>
      <c r="F465" s="3" t="n">
        <v>238242</v>
      </c>
      <c r="G465" s="3" t="n">
        <v>116968</v>
      </c>
      <c r="H465" s="3" t="n">
        <v>355210</v>
      </c>
      <c r="I465" s="3" t="n">
        <v>0</v>
      </c>
      <c r="J465" s="3" t="n">
        <v>392000</v>
      </c>
    </row>
    <row r="466">
      <c r="A466" t="inlineStr">
        <is>
          <t>2027/6</t>
        </is>
      </c>
      <c r="B466" t="inlineStr">
        <is>
          <t>C/91001_26</t>
        </is>
      </c>
      <c r="C466" t="inlineStr">
        <is>
          <t>新取得BIM土木機電-26年</t>
        </is>
      </c>
      <c r="D466" t="inlineStr">
        <is>
          <t>內部</t>
        </is>
      </c>
      <c r="E466" t="inlineStr">
        <is>
          <t>內案</t>
        </is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</row>
    <row r="467">
      <c r="A467" t="inlineStr">
        <is>
          <t>2027/6</t>
        </is>
      </c>
      <c r="B467" t="inlineStr">
        <is>
          <t>C/91000_27</t>
        </is>
      </c>
      <c r="C467" t="inlineStr">
        <is>
          <t>新取得BIM土木機電-26年</t>
        </is>
      </c>
      <c r="D467" t="inlineStr">
        <is>
          <t>內部</t>
        </is>
      </c>
      <c r="E467" t="inlineStr">
        <is>
          <t>內案</t>
        </is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</row>
    <row r="468">
      <c r="A468" t="inlineStr">
        <is>
          <t>2027/6</t>
        </is>
      </c>
      <c r="B468" t="inlineStr">
        <is>
          <t>C/91001_27</t>
        </is>
      </c>
      <c r="C468" t="inlineStr">
        <is>
          <t>新取得BIM土木機電-27年</t>
        </is>
      </c>
      <c r="D468" t="inlineStr">
        <is>
          <t>內部</t>
        </is>
      </c>
      <c r="E468" t="inlineStr">
        <is>
          <t>內案</t>
        </is>
      </c>
      <c r="F468" s="3" t="n">
        <v>357363</v>
      </c>
      <c r="G468" s="3" t="n">
        <v>178936</v>
      </c>
      <c r="H468" s="3" t="n">
        <v>536299</v>
      </c>
      <c r="I468" s="3" t="n">
        <v>0</v>
      </c>
      <c r="J468" s="3" t="n">
        <v>0</v>
      </c>
    </row>
    <row r="469">
      <c r="A469" t="inlineStr">
        <is>
          <t>2027/6</t>
        </is>
      </c>
      <c r="B469" t="inlineStr">
        <is>
          <t>C/91002_27</t>
        </is>
      </c>
      <c r="C469" t="inlineStr">
        <is>
          <t>新取得BIM土木機電-28年</t>
        </is>
      </c>
      <c r="D469" t="inlineStr">
        <is>
          <t>內部</t>
        </is>
      </c>
      <c r="E469" t="inlineStr">
        <is>
          <t>內案</t>
        </is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</row>
    <row r="470">
      <c r="A470" t="inlineStr">
        <is>
          <t>2027/6</t>
        </is>
      </c>
      <c r="B470" t="inlineStr">
        <is>
          <t>C/91003_27</t>
        </is>
      </c>
      <c r="C470" t="inlineStr">
        <is>
          <t>新取得BIM土木機電-29年</t>
        </is>
      </c>
      <c r="D470" t="inlineStr">
        <is>
          <t>內部</t>
        </is>
      </c>
      <c r="E470" t="inlineStr">
        <is>
          <t>內案</t>
        </is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</row>
    <row r="471">
      <c r="A471" t="inlineStr">
        <is>
          <t>2027/6</t>
        </is>
      </c>
      <c r="B471" t="inlineStr">
        <is>
          <t>C/91004_27</t>
        </is>
      </c>
      <c r="C471" t="inlineStr">
        <is>
          <t>新取得BIM土木機電-30年</t>
        </is>
      </c>
      <c r="D471" t="inlineStr">
        <is>
          <t>內部</t>
        </is>
      </c>
      <c r="E471" t="inlineStr">
        <is>
          <t>內案</t>
        </is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</row>
    <row r="472">
      <c r="A472" t="inlineStr">
        <is>
          <t>2027/6</t>
        </is>
      </c>
      <c r="B472" t="inlineStr">
        <is>
          <t>C/91005_27</t>
        </is>
      </c>
      <c r="C472" t="inlineStr">
        <is>
          <t>新取得BIM土木機電-31年</t>
        </is>
      </c>
      <c r="D472" t="inlineStr">
        <is>
          <t>內部</t>
        </is>
      </c>
      <c r="E472" t="inlineStr">
        <is>
          <t>內案</t>
        </is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</row>
    <row r="473">
      <c r="A473" t="inlineStr">
        <is>
          <t>2027/6</t>
        </is>
      </c>
      <c r="B473" t="inlineStr">
        <is>
          <t>C/9210F</t>
        </is>
      </c>
      <c r="C473" t="inlineStr">
        <is>
          <t>南港機廠BIM建築</t>
        </is>
      </c>
      <c r="D473" t="inlineStr">
        <is>
          <t>外部</t>
        </is>
      </c>
      <c r="E473" t="inlineStr">
        <is>
          <t>外案</t>
        </is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</row>
    <row r="474">
      <c r="A474" t="inlineStr">
        <is>
          <t>2027/6</t>
        </is>
      </c>
      <c r="B474" t="inlineStr">
        <is>
          <t>C/9210G</t>
        </is>
      </c>
      <c r="C474" t="inlineStr">
        <is>
          <t>富邦忠孝懷生BIM建築</t>
        </is>
      </c>
      <c r="D474" t="inlineStr">
        <is>
          <t>內部</t>
        </is>
      </c>
      <c r="E474" t="inlineStr">
        <is>
          <t>內案</t>
        </is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</row>
    <row r="475">
      <c r="A475" t="inlineStr">
        <is>
          <t>2027/6</t>
        </is>
      </c>
      <c r="B475" t="inlineStr">
        <is>
          <t>C/9220E</t>
        </is>
      </c>
      <c r="C475" t="inlineStr">
        <is>
          <t>柏鴻北士科 C/9100A-22A</t>
        </is>
      </c>
      <c r="D475" t="inlineStr">
        <is>
          <t>內部</t>
        </is>
      </c>
      <c r="E475" t="inlineStr">
        <is>
          <t>內案</t>
        </is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</row>
    <row r="476">
      <c r="A476" t="inlineStr">
        <is>
          <t>2027/6</t>
        </is>
      </c>
      <c r="B476" t="inlineStr">
        <is>
          <t>C/9230A</t>
        </is>
      </c>
      <c r="C476" t="inlineStr">
        <is>
          <t>信義兒福BIM建築</t>
        </is>
      </c>
      <c r="D476" t="inlineStr">
        <is>
          <t>外部</t>
        </is>
      </c>
      <c r="E476" t="inlineStr">
        <is>
          <t>外案</t>
        </is>
      </c>
      <c r="F476" s="3" t="n">
        <v>125665</v>
      </c>
      <c r="G476" s="3" t="n">
        <v>49900</v>
      </c>
      <c r="H476" s="3" t="n">
        <v>175565</v>
      </c>
      <c r="I476" s="3" t="n">
        <v>0</v>
      </c>
      <c r="J476" s="3" t="n">
        <v>0</v>
      </c>
    </row>
    <row r="477">
      <c r="A477" t="inlineStr">
        <is>
          <t>2027/6</t>
        </is>
      </c>
      <c r="B477" t="inlineStr">
        <is>
          <t>C/9230B</t>
        </is>
      </c>
      <c r="C477" t="inlineStr">
        <is>
          <t>北捷劍潭TOD</t>
        </is>
      </c>
      <c r="D477" t="inlineStr">
        <is>
          <t>內部</t>
        </is>
      </c>
      <c r="E477" t="inlineStr">
        <is>
          <t>內案</t>
        </is>
      </c>
      <c r="F477" s="3" t="n">
        <v>126366</v>
      </c>
      <c r="G477" s="3" t="n">
        <v>69967</v>
      </c>
      <c r="H477" s="3" t="n">
        <v>196333</v>
      </c>
      <c r="I477" s="3" t="n">
        <v>0</v>
      </c>
      <c r="J477" s="3" t="n">
        <v>150000</v>
      </c>
    </row>
    <row r="478">
      <c r="A478" t="inlineStr">
        <is>
          <t>2027/6</t>
        </is>
      </c>
      <c r="B478" t="inlineStr">
        <is>
          <t>C/9230C</t>
        </is>
      </c>
      <c r="C478" t="inlineStr">
        <is>
          <t>慶城福華-23年</t>
        </is>
      </c>
      <c r="D478" t="inlineStr">
        <is>
          <t>內部</t>
        </is>
      </c>
      <c r="E478" t="inlineStr">
        <is>
          <t>內案</t>
        </is>
      </c>
      <c r="F478" s="3" t="n">
        <v>1051</v>
      </c>
      <c r="G478" s="3" t="n">
        <v>572</v>
      </c>
      <c r="H478" s="3" t="n">
        <v>1623</v>
      </c>
      <c r="I478" s="3" t="n">
        <v>0</v>
      </c>
      <c r="J478" s="3" t="n">
        <v>0</v>
      </c>
    </row>
    <row r="479">
      <c r="A479" t="inlineStr">
        <is>
          <t>2027/6</t>
        </is>
      </c>
      <c r="B479" t="inlineStr">
        <is>
          <t>C/9240A</t>
        </is>
      </c>
      <c r="C479" t="inlineStr">
        <is>
          <t>南港國際一</t>
        </is>
      </c>
      <c r="D479" t="inlineStr">
        <is>
          <t>內部</t>
        </is>
      </c>
      <c r="E479" t="inlineStr">
        <is>
          <t>內案</t>
        </is>
      </c>
      <c r="F479" s="3" t="n">
        <v>33503</v>
      </c>
      <c r="G479" s="3" t="n">
        <v>29521</v>
      </c>
      <c r="H479" s="3" t="n">
        <v>63024</v>
      </c>
      <c r="I479" s="3" t="n">
        <v>0</v>
      </c>
      <c r="J479" s="3" t="n">
        <v>0</v>
      </c>
    </row>
    <row r="480">
      <c r="A480" t="inlineStr">
        <is>
          <t>2027/6</t>
        </is>
      </c>
      <c r="B480" t="inlineStr">
        <is>
          <t>C/9240B</t>
        </is>
      </c>
      <c r="C480" t="inlineStr">
        <is>
          <t xml:space="preserve">台中洲際BIM建築 </t>
        </is>
      </c>
      <c r="D480" t="inlineStr">
        <is>
          <t>內部</t>
        </is>
      </c>
      <c r="E480" t="inlineStr">
        <is>
          <t>內案</t>
        </is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</row>
    <row r="481">
      <c r="A481" t="inlineStr">
        <is>
          <t>2027/6</t>
        </is>
      </c>
      <c r="B481" t="inlineStr">
        <is>
          <t>C/9240C</t>
        </is>
      </c>
      <c r="C481" t="inlineStr">
        <is>
          <t xml:space="preserve">大直金泰BIM建築 </t>
        </is>
      </c>
      <c r="D481" t="inlineStr">
        <is>
          <t>內部</t>
        </is>
      </c>
      <c r="E481" t="inlineStr">
        <is>
          <t>內案</t>
        </is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</row>
    <row r="482">
      <c r="A482" t="inlineStr">
        <is>
          <t>2027/6</t>
        </is>
      </c>
      <c r="B482" t="inlineStr">
        <is>
          <t>C/9240D</t>
        </is>
      </c>
      <c r="C482" t="inlineStr">
        <is>
          <t xml:space="preserve">板橋新雅BIM建築 </t>
        </is>
      </c>
      <c r="D482" t="inlineStr">
        <is>
          <t>內部</t>
        </is>
      </c>
      <c r="E482" t="inlineStr">
        <is>
          <t>內案</t>
        </is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</row>
    <row r="483">
      <c r="A483" t="inlineStr">
        <is>
          <t>2027/6</t>
        </is>
      </c>
      <c r="B483" t="inlineStr">
        <is>
          <t>C/9240E</t>
        </is>
      </c>
      <c r="C483" t="inlineStr">
        <is>
          <t xml:space="preserve">板橋四維BIM建築 </t>
        </is>
      </c>
      <c r="D483" t="inlineStr">
        <is>
          <t>內部</t>
        </is>
      </c>
      <c r="E483" t="inlineStr">
        <is>
          <t>內案</t>
        </is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</row>
    <row r="484">
      <c r="A484" t="inlineStr">
        <is>
          <t>2027/6</t>
        </is>
      </c>
      <c r="B484" t="inlineStr">
        <is>
          <t>C/9240F</t>
        </is>
      </c>
      <c r="C484" t="inlineStr">
        <is>
          <t>台中新美齊</t>
        </is>
      </c>
      <c r="D484" t="inlineStr">
        <is>
          <t>內部</t>
        </is>
      </c>
      <c r="E484" t="inlineStr">
        <is>
          <t>內案</t>
        </is>
      </c>
      <c r="F484" s="3" t="n">
        <v>1051</v>
      </c>
      <c r="G484" s="3" t="n">
        <v>922</v>
      </c>
      <c r="H484" s="3" t="n">
        <v>1973</v>
      </c>
      <c r="I484" s="3" t="n">
        <v>0</v>
      </c>
      <c r="J484" s="3" t="n">
        <v>0</v>
      </c>
    </row>
    <row r="485">
      <c r="A485" t="inlineStr">
        <is>
          <t>2027/6</t>
        </is>
      </c>
      <c r="B485" t="inlineStr">
        <is>
          <t>C/9240G</t>
        </is>
      </c>
      <c r="C485" t="inlineStr">
        <is>
          <t>晨禎片片山閑</t>
        </is>
      </c>
      <c r="D485" t="inlineStr">
        <is>
          <t>外部</t>
        </is>
      </c>
      <c r="E485" t="inlineStr">
        <is>
          <t>外案</t>
        </is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</row>
    <row r="486">
      <c r="A486" t="inlineStr">
        <is>
          <t>2027/6</t>
        </is>
      </c>
      <c r="B486" t="inlineStr">
        <is>
          <t>C/9250A</t>
        </is>
      </c>
      <c r="C486" t="inlineStr">
        <is>
          <t>南機二區BIM服務</t>
        </is>
      </c>
      <c r="D486" t="inlineStr">
        <is>
          <t>內部</t>
        </is>
      </c>
      <c r="E486" t="inlineStr">
        <is>
          <t>內案</t>
        </is>
      </c>
      <c r="F486" s="3" t="n">
        <v>378424</v>
      </c>
      <c r="G486" s="3" t="n">
        <v>93981</v>
      </c>
      <c r="H486" s="3" t="n">
        <v>472405</v>
      </c>
      <c r="I486" s="3" t="n">
        <v>0</v>
      </c>
      <c r="J486" s="3" t="n">
        <v>330000</v>
      </c>
    </row>
    <row r="487">
      <c r="A487" t="inlineStr">
        <is>
          <t>2027/6</t>
        </is>
      </c>
      <c r="B487" t="inlineStr">
        <is>
          <t>C/9250B</t>
        </is>
      </c>
      <c r="C487" t="inlineStr">
        <is>
          <t>璞真南港總部</t>
        </is>
      </c>
      <c r="D487" t="inlineStr">
        <is>
          <t>內部</t>
        </is>
      </c>
      <c r="E487" t="inlineStr">
        <is>
          <t>內案</t>
        </is>
      </c>
      <c r="F487" s="3" t="n">
        <v>11752</v>
      </c>
      <c r="G487" s="3" t="n">
        <v>5859</v>
      </c>
      <c r="H487" s="3" t="n">
        <v>17611</v>
      </c>
      <c r="I487" s="3" t="n">
        <v>0</v>
      </c>
      <c r="J487" s="3" t="n">
        <v>0</v>
      </c>
    </row>
    <row r="488">
      <c r="A488" t="inlineStr">
        <is>
          <t>2027/6</t>
        </is>
      </c>
      <c r="B488" t="inlineStr">
        <is>
          <t>C/9250C</t>
        </is>
      </c>
      <c r="C488" t="inlineStr">
        <is>
          <t>築源南港</t>
        </is>
      </c>
      <c r="D488" t="inlineStr">
        <is>
          <t>內部</t>
        </is>
      </c>
      <c r="E488" t="inlineStr">
        <is>
          <t>內案</t>
        </is>
      </c>
      <c r="F488" s="3" t="n">
        <v>125315</v>
      </c>
      <c r="G488" s="3" t="n">
        <v>58578</v>
      </c>
      <c r="H488" s="3" t="n">
        <v>183893</v>
      </c>
      <c r="I488" s="3" t="n">
        <v>0</v>
      </c>
      <c r="J488" s="3" t="n">
        <v>160000</v>
      </c>
    </row>
    <row r="489">
      <c r="A489" t="inlineStr">
        <is>
          <t>2027/6</t>
        </is>
      </c>
      <c r="B489" t="inlineStr">
        <is>
          <t>C/9250D</t>
        </is>
      </c>
      <c r="C489" t="inlineStr">
        <is>
          <t>南港三重</t>
        </is>
      </c>
      <c r="D489" t="inlineStr">
        <is>
          <t>內部</t>
        </is>
      </c>
      <c r="E489" t="inlineStr">
        <is>
          <t>內案</t>
        </is>
      </c>
      <c r="F489" s="3" t="n">
        <v>83267</v>
      </c>
      <c r="G489" s="3" t="n">
        <v>37952</v>
      </c>
      <c r="H489" s="3" t="n">
        <v>121219</v>
      </c>
      <c r="I489" s="3" t="n">
        <v>0</v>
      </c>
      <c r="J489" s="3" t="n">
        <v>0</v>
      </c>
    </row>
    <row r="490">
      <c r="A490" t="inlineStr">
        <is>
          <t>2027/6</t>
        </is>
      </c>
      <c r="B490" t="inlineStr">
        <is>
          <t>C/9260A</t>
        </is>
      </c>
      <c r="C490" t="inlineStr">
        <is>
          <t>台中楓溪</t>
        </is>
      </c>
      <c r="D490" t="inlineStr">
        <is>
          <t>內部</t>
        </is>
      </c>
      <c r="E490" t="inlineStr">
        <is>
          <t>內案</t>
        </is>
      </c>
      <c r="F490" s="3" t="n">
        <v>11051</v>
      </c>
      <c r="G490" s="3" t="n">
        <v>5035</v>
      </c>
      <c r="H490" s="3" t="n">
        <v>16086</v>
      </c>
      <c r="I490" s="3" t="n">
        <v>0</v>
      </c>
      <c r="J490" s="3" t="n">
        <v>160000</v>
      </c>
    </row>
    <row r="491">
      <c r="A491" t="inlineStr">
        <is>
          <t>2027/6</t>
        </is>
      </c>
      <c r="B491" t="inlineStr">
        <is>
          <t>C/9260B</t>
        </is>
      </c>
      <c r="C491" t="inlineStr">
        <is>
          <t>樺輝永鑄</t>
        </is>
      </c>
      <c r="D491" t="inlineStr">
        <is>
          <t>內部</t>
        </is>
      </c>
      <c r="E491" t="inlineStr">
        <is>
          <t>內案</t>
        </is>
      </c>
      <c r="F491" s="3" t="n">
        <v>188595</v>
      </c>
      <c r="G491" s="3" t="n">
        <v>36768</v>
      </c>
      <c r="H491" s="3" t="n">
        <v>225363</v>
      </c>
      <c r="I491" s="3" t="n">
        <v>0</v>
      </c>
      <c r="J491" s="3" t="n">
        <v>240000</v>
      </c>
    </row>
    <row r="492">
      <c r="A492" t="inlineStr">
        <is>
          <t>2027/6</t>
        </is>
      </c>
      <c r="B492" t="inlineStr">
        <is>
          <t>C/9260C</t>
        </is>
      </c>
      <c r="C492" t="inlineStr">
        <is>
          <t>中華郵政信維</t>
        </is>
      </c>
      <c r="D492" t="inlineStr">
        <is>
          <t>內部</t>
        </is>
      </c>
      <c r="E492" t="inlineStr">
        <is>
          <t>內案</t>
        </is>
      </c>
      <c r="F492" s="3" t="n">
        <v>136366</v>
      </c>
      <c r="G492" s="3" t="n">
        <v>58908</v>
      </c>
      <c r="H492" s="3" t="n">
        <v>195274</v>
      </c>
      <c r="I492" s="3" t="n">
        <v>0</v>
      </c>
      <c r="J492" s="3" t="n">
        <v>262500</v>
      </c>
    </row>
    <row r="493">
      <c r="A493" t="inlineStr">
        <is>
          <t>2027/6</t>
        </is>
      </c>
      <c r="B493" t="inlineStr">
        <is>
          <t>C/9260D</t>
        </is>
      </c>
      <c r="C493" t="inlineStr">
        <is>
          <t>大安復興</t>
        </is>
      </c>
      <c r="D493" t="inlineStr">
        <is>
          <t>內部</t>
        </is>
      </c>
      <c r="E493" t="inlineStr">
        <is>
          <t>內案</t>
        </is>
      </c>
      <c r="F493" s="3" t="n">
        <v>72930</v>
      </c>
      <c r="G493" s="3" t="n">
        <v>28975</v>
      </c>
      <c r="H493" s="3" t="n">
        <v>101905</v>
      </c>
      <c r="I493" s="3" t="n">
        <v>0</v>
      </c>
      <c r="J493" s="3" t="n">
        <v>85000</v>
      </c>
    </row>
    <row r="494">
      <c r="A494" t="inlineStr">
        <is>
          <t>2027/6</t>
        </is>
      </c>
      <c r="B494" t="inlineStr">
        <is>
          <t>C/9100B_26</t>
        </is>
      </c>
      <c r="C494" t="inlineStr">
        <is>
          <t>新取得BIM建築-26年</t>
        </is>
      </c>
      <c r="D494" t="inlineStr">
        <is>
          <t>內部</t>
        </is>
      </c>
      <c r="E494" t="inlineStr">
        <is>
          <t>內案</t>
        </is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</row>
    <row r="495">
      <c r="A495" t="inlineStr">
        <is>
          <t>2027/6</t>
        </is>
      </c>
      <c r="B495" t="inlineStr">
        <is>
          <t>C/9100A_27</t>
        </is>
      </c>
      <c r="C495" t="inlineStr">
        <is>
          <t>新取得BIM建築-26年</t>
        </is>
      </c>
      <c r="D495" t="inlineStr">
        <is>
          <t>內部</t>
        </is>
      </c>
      <c r="E495" t="inlineStr">
        <is>
          <t>內案</t>
        </is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</row>
    <row r="496">
      <c r="A496" t="inlineStr">
        <is>
          <t>2027/6</t>
        </is>
      </c>
      <c r="B496" t="inlineStr">
        <is>
          <t>C/9100B_27</t>
        </is>
      </c>
      <c r="C496" t="inlineStr">
        <is>
          <t>新取得BIM建築-27年</t>
        </is>
      </c>
      <c r="D496" t="inlineStr">
        <is>
          <t>內部</t>
        </is>
      </c>
      <c r="E496" t="inlineStr">
        <is>
          <t>內案</t>
        </is>
      </c>
      <c r="F496" s="3" t="n">
        <v>854118</v>
      </c>
      <c r="G496" s="3" t="n">
        <v>323295</v>
      </c>
      <c r="H496" s="3" t="n">
        <v>1177413</v>
      </c>
      <c r="I496" s="3" t="n">
        <v>0</v>
      </c>
      <c r="J496" s="3" t="n">
        <v>1191500</v>
      </c>
    </row>
    <row r="497">
      <c r="A497" t="inlineStr">
        <is>
          <t>2027/6</t>
        </is>
      </c>
      <c r="B497" t="inlineStr">
        <is>
          <t>C/9100C_27</t>
        </is>
      </c>
      <c r="C497" t="inlineStr">
        <is>
          <t>新取得BIM建築-28年</t>
        </is>
      </c>
      <c r="D497" t="inlineStr">
        <is>
          <t>內部</t>
        </is>
      </c>
      <c r="E497" t="inlineStr">
        <is>
          <t>內案</t>
        </is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</row>
    <row r="498">
      <c r="A498" t="inlineStr">
        <is>
          <t>2027/6</t>
        </is>
      </c>
      <c r="B498" t="inlineStr">
        <is>
          <t>C/9100D_27</t>
        </is>
      </c>
      <c r="C498" t="inlineStr">
        <is>
          <t>新取得BIM建築-29年</t>
        </is>
      </c>
      <c r="D498" t="inlineStr">
        <is>
          <t>內部</t>
        </is>
      </c>
      <c r="E498" t="inlineStr">
        <is>
          <t>內案</t>
        </is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</row>
    <row r="499">
      <c r="A499" t="inlineStr">
        <is>
          <t>2027/6</t>
        </is>
      </c>
      <c r="B499" t="inlineStr">
        <is>
          <t>C/9100E_27</t>
        </is>
      </c>
      <c r="C499" t="inlineStr">
        <is>
          <t>新取得BIM建築-30年</t>
        </is>
      </c>
      <c r="D499" t="inlineStr">
        <is>
          <t>內部</t>
        </is>
      </c>
      <c r="E499" t="inlineStr">
        <is>
          <t>內案</t>
        </is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</row>
    <row r="500">
      <c r="A500" t="inlineStr">
        <is>
          <t>2027/6</t>
        </is>
      </c>
      <c r="B500" t="inlineStr">
        <is>
          <t>C/9100F_27</t>
        </is>
      </c>
      <c r="C500" t="inlineStr">
        <is>
          <t>新取得BIM建築-31年</t>
        </is>
      </c>
      <c r="D500" t="inlineStr">
        <is>
          <t>內部</t>
        </is>
      </c>
      <c r="E500" t="inlineStr">
        <is>
          <t>內案</t>
        </is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</row>
    <row r="501">
      <c r="A501" t="inlineStr">
        <is>
          <t>2027/6</t>
        </is>
      </c>
      <c r="B501" t="inlineStr">
        <is>
          <t>C/99992</t>
        </is>
      </c>
      <c r="C501" t="inlineStr">
        <is>
          <t>雜項BIM土木機電</t>
        </is>
      </c>
      <c r="D501" t="inlineStr">
        <is>
          <t>內/無</t>
        </is>
      </c>
      <c r="E501" t="inlineStr">
        <is>
          <t>雜項</t>
        </is>
      </c>
      <c r="F501" s="3" t="n">
        <v>23824</v>
      </c>
      <c r="G501" s="3" t="n">
        <v>5676</v>
      </c>
      <c r="H501" s="3" t="n">
        <v>29500</v>
      </c>
      <c r="I501" s="3" t="n">
        <v>0</v>
      </c>
      <c r="J501" s="3" t="n">
        <v>29500</v>
      </c>
    </row>
    <row r="502">
      <c r="A502" t="inlineStr">
        <is>
          <t>2027/6</t>
        </is>
      </c>
      <c r="B502" t="inlineStr">
        <is>
          <t>C/99992-1</t>
        </is>
      </c>
      <c r="C502" t="inlineStr">
        <is>
          <t>雜項BIM土木機電(外案收入)</t>
        </is>
      </c>
      <c r="D502" t="inlineStr">
        <is>
          <t>外部</t>
        </is>
      </c>
      <c r="E502" t="inlineStr">
        <is>
          <t>外案</t>
        </is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</row>
    <row r="503">
      <c r="A503" t="inlineStr">
        <is>
          <t>2027/6</t>
        </is>
      </c>
      <c r="B503" t="inlineStr">
        <is>
          <t>C/99993</t>
        </is>
      </c>
      <c r="C503" t="inlineStr">
        <is>
          <t>備標BIM土木機電</t>
        </is>
      </c>
      <c r="D503" t="inlineStr">
        <is>
          <t>備標</t>
        </is>
      </c>
      <c r="E503" t="inlineStr">
        <is>
          <t>備標</t>
        </is>
      </c>
      <c r="F503" s="3" t="n">
        <v>59561</v>
      </c>
      <c r="G503" s="3" t="n">
        <v>-59561</v>
      </c>
      <c r="H503" s="3" t="n">
        <v>0</v>
      </c>
      <c r="I503" s="3" t="n">
        <v>0</v>
      </c>
      <c r="J503" s="3" t="n">
        <v>0</v>
      </c>
    </row>
    <row r="504">
      <c r="A504" t="inlineStr">
        <is>
          <t>2027/6</t>
        </is>
      </c>
      <c r="B504" t="inlineStr">
        <is>
          <t>C/9999B</t>
        </is>
      </c>
      <c r="C504" t="inlineStr">
        <is>
          <t>雜項BIM建築</t>
        </is>
      </c>
      <c r="D504" t="inlineStr">
        <is>
          <t>內/無</t>
        </is>
      </c>
      <c r="E504" t="inlineStr">
        <is>
          <t>雜項</t>
        </is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0</v>
      </c>
    </row>
    <row r="505">
      <c r="A505" t="inlineStr">
        <is>
          <t>2027/6</t>
        </is>
      </c>
      <c r="B505" t="inlineStr">
        <is>
          <t>C/9999D</t>
        </is>
      </c>
      <c r="C505" t="inlineStr">
        <is>
          <t>備標BIM建築</t>
        </is>
      </c>
      <c r="D505" t="inlineStr">
        <is>
          <t>備標</t>
        </is>
      </c>
      <c r="E505" t="inlineStr">
        <is>
          <t>備標</t>
        </is>
      </c>
      <c r="F505" s="3" t="n">
        <v>20000</v>
      </c>
      <c r="G505" s="3" t="n">
        <v>-20000</v>
      </c>
      <c r="H505" s="3" t="n">
        <v>0</v>
      </c>
      <c r="I505" s="3" t="n">
        <v>0</v>
      </c>
      <c r="J505" s="3" t="n">
        <v>0</v>
      </c>
    </row>
    <row r="506">
      <c r="A506" t="inlineStr">
        <is>
          <t>2027/7</t>
        </is>
      </c>
      <c r="B506" t="inlineStr">
        <is>
          <t>C/92103</t>
        </is>
      </c>
      <c r="C506" t="inlineStr">
        <is>
          <t>CQ840 BIM</t>
        </is>
      </c>
      <c r="D506" t="inlineStr">
        <is>
          <t>內部</t>
        </is>
      </c>
      <c r="E506" t="inlineStr">
        <is>
          <t>內案</t>
        </is>
      </c>
      <c r="F506" s="3" t="n">
        <v>122695</v>
      </c>
      <c r="G506" s="3" t="n">
        <v>-20860</v>
      </c>
      <c r="H506" s="3" t="n">
        <v>101835</v>
      </c>
      <c r="I506" s="3" t="n">
        <v>20860</v>
      </c>
      <c r="J506" s="3" t="n">
        <v>0</v>
      </c>
    </row>
    <row r="507">
      <c r="A507" t="inlineStr">
        <is>
          <t>2027/7</t>
        </is>
      </c>
      <c r="B507" t="inlineStr">
        <is>
          <t>C/92202</t>
        </is>
      </c>
      <c r="C507" t="inlineStr">
        <is>
          <t>CF680C BIM</t>
        </is>
      </c>
      <c r="D507" t="inlineStr">
        <is>
          <t>內部</t>
        </is>
      </c>
      <c r="E507" t="inlineStr">
        <is>
          <t>內案</t>
        </is>
      </c>
      <c r="F507" s="3" t="n">
        <v>127385</v>
      </c>
      <c r="G507" s="3" t="n">
        <v>61256</v>
      </c>
      <c r="H507" s="3" t="n">
        <v>188641</v>
      </c>
      <c r="I507" s="3" t="n">
        <v>0</v>
      </c>
      <c r="J507" s="3" t="n">
        <v>0</v>
      </c>
    </row>
    <row r="508">
      <c r="A508" t="inlineStr">
        <is>
          <t>2027/7</t>
        </is>
      </c>
      <c r="B508" t="inlineStr">
        <is>
          <t>C/92203</t>
        </is>
      </c>
      <c r="C508" t="inlineStr">
        <is>
          <t>N－WH BIM</t>
        </is>
      </c>
      <c r="D508" t="inlineStr">
        <is>
          <t>內部</t>
        </is>
      </c>
      <c r="E508" t="inlineStr">
        <is>
          <t>內案</t>
        </is>
      </c>
      <c r="F508" s="3" t="n">
        <v>26206</v>
      </c>
      <c r="G508" s="3" t="n">
        <v>9056</v>
      </c>
      <c r="H508" s="3" t="n">
        <v>35262</v>
      </c>
      <c r="I508" s="3" t="n">
        <v>0</v>
      </c>
      <c r="J508" s="3" t="n">
        <v>75000</v>
      </c>
    </row>
    <row r="509">
      <c r="A509" t="inlineStr">
        <is>
          <t>2027/7</t>
        </is>
      </c>
      <c r="B509" t="inlineStr">
        <is>
          <t>C/92204</t>
        </is>
      </c>
      <c r="C509" t="inlineStr">
        <is>
          <t>國揚吉林機電</t>
        </is>
      </c>
      <c r="D509" t="inlineStr">
        <is>
          <t>內部</t>
        </is>
      </c>
      <c r="E509" t="inlineStr">
        <is>
          <t>內案</t>
        </is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</row>
    <row r="510">
      <c r="A510" t="inlineStr">
        <is>
          <t>2027/7</t>
        </is>
      </c>
      <c r="B510" t="inlineStr">
        <is>
          <t>C/92301</t>
        </is>
      </c>
      <c r="C510" t="inlineStr">
        <is>
          <t>CF670A BIM 土木機電</t>
        </is>
      </c>
      <c r="D510" t="inlineStr">
        <is>
          <t>內部</t>
        </is>
      </c>
      <c r="E510" t="inlineStr">
        <is>
          <t>內案</t>
        </is>
      </c>
      <c r="F510" s="3" t="n">
        <v>63061</v>
      </c>
      <c r="G510" s="3" t="n">
        <v>7242</v>
      </c>
      <c r="H510" s="3" t="n">
        <v>70303</v>
      </c>
      <c r="I510" s="3" t="n">
        <v>0</v>
      </c>
      <c r="J510" s="3" t="n">
        <v>30000</v>
      </c>
    </row>
    <row r="511">
      <c r="A511" t="inlineStr">
        <is>
          <t>2027/7</t>
        </is>
      </c>
      <c r="B511" t="inlineStr">
        <is>
          <t>C/92302</t>
        </is>
      </c>
      <c r="C511" t="inlineStr">
        <is>
          <t>富邦忠孝懷生BIM機電</t>
        </is>
      </c>
      <c r="D511" t="inlineStr">
        <is>
          <t>內部</t>
        </is>
      </c>
      <c r="E511" t="inlineStr">
        <is>
          <t>內案</t>
        </is>
      </c>
      <c r="F511" s="3" t="n">
        <v>76238</v>
      </c>
      <c r="G511" s="3" t="n">
        <v>-3258</v>
      </c>
      <c r="H511" s="3" t="n">
        <v>72980</v>
      </c>
      <c r="I511" s="3" t="n">
        <v>3258</v>
      </c>
      <c r="J511" s="3" t="n">
        <v>0</v>
      </c>
    </row>
    <row r="512">
      <c r="A512" t="inlineStr">
        <is>
          <t>2027/7</t>
        </is>
      </c>
      <c r="B512" t="inlineStr">
        <is>
          <t>C/92303</t>
        </is>
      </c>
      <c r="C512" t="inlineStr">
        <is>
          <t>信義兒福BIM機電</t>
        </is>
      </c>
      <c r="D512" t="inlineStr">
        <is>
          <t>外部</t>
        </is>
      </c>
      <c r="E512" t="inlineStr">
        <is>
          <t>外案</t>
        </is>
      </c>
      <c r="F512" s="3" t="n">
        <v>39310</v>
      </c>
      <c r="G512" s="3" t="n">
        <v>9504</v>
      </c>
      <c r="H512" s="3" t="n">
        <v>48814</v>
      </c>
      <c r="I512" s="3" t="n">
        <v>0</v>
      </c>
      <c r="J512" s="3" t="n">
        <v>0</v>
      </c>
    </row>
    <row r="513">
      <c r="A513" t="inlineStr">
        <is>
          <t>2027/7</t>
        </is>
      </c>
      <c r="B513" t="inlineStr">
        <is>
          <t>C/92304</t>
        </is>
      </c>
      <c r="C513" t="inlineStr">
        <is>
          <t>捷運劍潭站TOD統包BIM機電</t>
        </is>
      </c>
      <c r="D513" t="inlineStr">
        <is>
          <t>內部</t>
        </is>
      </c>
      <c r="E513" t="inlineStr">
        <is>
          <t>內案</t>
        </is>
      </c>
      <c r="F513" s="3" t="n">
        <v>119121</v>
      </c>
      <c r="G513" s="3" t="n">
        <v>12834</v>
      </c>
      <c r="H513" s="3" t="n">
        <v>131955</v>
      </c>
      <c r="I513" s="3" t="n">
        <v>0</v>
      </c>
      <c r="J513" s="3" t="n">
        <v>160000</v>
      </c>
    </row>
    <row r="514">
      <c r="A514" t="inlineStr">
        <is>
          <t>2027/7</t>
        </is>
      </c>
      <c r="B514" t="inlineStr">
        <is>
          <t>C/92401</t>
        </is>
      </c>
      <c r="C514" t="inlineStr">
        <is>
          <t>CJ17 土木機電</t>
        </is>
      </c>
      <c r="D514" t="inlineStr">
        <is>
          <t>內部</t>
        </is>
      </c>
      <c r="E514" t="inlineStr">
        <is>
          <t>內案</t>
        </is>
      </c>
      <c r="F514" s="3" t="n">
        <v>51149</v>
      </c>
      <c r="G514" s="3" t="n">
        <v>24763</v>
      </c>
      <c r="H514" s="3" t="n">
        <v>75912</v>
      </c>
      <c r="I514" s="3" t="n">
        <v>0</v>
      </c>
      <c r="J514" s="3" t="n">
        <v>431668</v>
      </c>
    </row>
    <row r="515">
      <c r="A515" t="inlineStr">
        <is>
          <t>2027/7</t>
        </is>
      </c>
      <c r="B515" t="inlineStr">
        <is>
          <t>C/92501</t>
        </is>
      </c>
      <c r="C515" t="inlineStr">
        <is>
          <t>CF670 BIM土木機電</t>
        </is>
      </c>
      <c r="D515" t="inlineStr">
        <is>
          <t>內部</t>
        </is>
      </c>
      <c r="E515" t="inlineStr">
        <is>
          <t>內案</t>
        </is>
      </c>
      <c r="F515" s="3" t="n">
        <v>182182</v>
      </c>
      <c r="G515" s="3" t="n">
        <v>87000</v>
      </c>
      <c r="H515" s="3" t="n">
        <v>269182</v>
      </c>
      <c r="I515" s="3" t="n">
        <v>0</v>
      </c>
      <c r="J515" s="3" t="n">
        <v>900000</v>
      </c>
    </row>
    <row r="516">
      <c r="A516" t="inlineStr">
        <is>
          <t>2027/7</t>
        </is>
      </c>
      <c r="B516" t="inlineStr">
        <is>
          <t>C/92502</t>
        </is>
      </c>
      <c r="C516" t="inlineStr">
        <is>
          <t>擎邦-聯發科機電</t>
        </is>
      </c>
      <c r="D516" t="inlineStr">
        <is>
          <t>外部</t>
        </is>
      </c>
      <c r="E516" t="inlineStr">
        <is>
          <t>外案</t>
        </is>
      </c>
      <c r="F516" s="3" t="n">
        <v>119121</v>
      </c>
      <c r="G516" s="3" t="n">
        <v>92634</v>
      </c>
      <c r="H516" s="3" t="n">
        <v>211755</v>
      </c>
      <c r="I516" s="3" t="n">
        <v>0</v>
      </c>
      <c r="J516" s="3" t="n">
        <v>0</v>
      </c>
    </row>
    <row r="517">
      <c r="A517" t="inlineStr">
        <is>
          <t>2027/7</t>
        </is>
      </c>
      <c r="B517" t="inlineStr">
        <is>
          <t>C/92503</t>
        </is>
      </c>
      <c r="C517" t="inlineStr">
        <is>
          <t>CF690B BIM土木</t>
        </is>
      </c>
      <c r="D517" t="inlineStr">
        <is>
          <t>外部</t>
        </is>
      </c>
      <c r="E517" t="inlineStr">
        <is>
          <t>外案</t>
        </is>
      </c>
      <c r="F517" s="3" t="n">
        <v>39236</v>
      </c>
      <c r="G517" s="3" t="n">
        <v>16360</v>
      </c>
      <c r="H517" s="3" t="n">
        <v>55596</v>
      </c>
      <c r="I517" s="3" t="n">
        <v>0</v>
      </c>
      <c r="J517" s="3" t="n">
        <v>1022400</v>
      </c>
    </row>
    <row r="518">
      <c r="A518" t="inlineStr">
        <is>
          <t>2027/7</t>
        </is>
      </c>
      <c r="B518" t="inlineStr">
        <is>
          <t>C/92504</t>
        </is>
      </c>
      <c r="C518" t="inlineStr">
        <is>
          <t>擎邦-員榮總醫院BIM</t>
        </is>
      </c>
      <c r="D518" t="inlineStr">
        <is>
          <t>外部</t>
        </is>
      </c>
      <c r="E518" t="inlineStr">
        <is>
          <t>外案</t>
        </is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1316000</v>
      </c>
    </row>
    <row r="519">
      <c r="A519" t="inlineStr">
        <is>
          <t>2027/7</t>
        </is>
      </c>
      <c r="B519" t="inlineStr">
        <is>
          <t>C/92601</t>
        </is>
      </c>
      <c r="C519" t="inlineStr">
        <is>
          <t>擎邦-聯發科銅鑼</t>
        </is>
      </c>
      <c r="D519" t="inlineStr">
        <is>
          <t>外部</t>
        </is>
      </c>
      <c r="E519" t="inlineStr">
        <is>
          <t>外案</t>
        </is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</row>
    <row r="520">
      <c r="A520" t="inlineStr">
        <is>
          <t>2027/7</t>
        </is>
      </c>
      <c r="B520" t="inlineStr">
        <is>
          <t>C/92602</t>
        </is>
      </c>
      <c r="C520" t="inlineStr">
        <is>
          <t>擎邦-CF624F機電(CF690B機電)</t>
        </is>
      </c>
      <c r="D520" t="inlineStr">
        <is>
          <t>外部</t>
        </is>
      </c>
      <c r="E520" t="inlineStr">
        <is>
          <t>外案</t>
        </is>
      </c>
      <c r="F520" s="3" t="n">
        <v>238242</v>
      </c>
      <c r="G520" s="3" t="n">
        <v>111166</v>
      </c>
      <c r="H520" s="3" t="n">
        <v>349408</v>
      </c>
      <c r="I520" s="3" t="n">
        <v>0</v>
      </c>
      <c r="J520" s="3" t="n">
        <v>0</v>
      </c>
    </row>
    <row r="521">
      <c r="A521" t="inlineStr">
        <is>
          <t>2027/7</t>
        </is>
      </c>
      <c r="B521" t="inlineStr">
        <is>
          <t>C/92603</t>
        </is>
      </c>
      <c r="C521" t="inlineStr">
        <is>
          <t>中華郵政信維機電</t>
        </is>
      </c>
      <c r="D521" t="inlineStr">
        <is>
          <t>內部</t>
        </is>
      </c>
      <c r="E521" t="inlineStr">
        <is>
          <t>內案</t>
        </is>
      </c>
      <c r="F521" s="3" t="n">
        <v>238242</v>
      </c>
      <c r="G521" s="3" t="n">
        <v>116968</v>
      </c>
      <c r="H521" s="3" t="n">
        <v>355210</v>
      </c>
      <c r="I521" s="3" t="n">
        <v>0</v>
      </c>
      <c r="J521" s="3" t="n">
        <v>392000</v>
      </c>
    </row>
    <row r="522">
      <c r="A522" t="inlineStr">
        <is>
          <t>2027/7</t>
        </is>
      </c>
      <c r="B522" t="inlineStr">
        <is>
          <t>C/91001_26</t>
        </is>
      </c>
      <c r="C522" t="inlineStr">
        <is>
          <t>新取得BIM土木機電-26年</t>
        </is>
      </c>
      <c r="D522" t="inlineStr">
        <is>
          <t>內部</t>
        </is>
      </c>
      <c r="E522" t="inlineStr">
        <is>
          <t>內案</t>
        </is>
      </c>
      <c r="F522" s="3" t="n">
        <v>0</v>
      </c>
      <c r="G522" s="3" t="n">
        <v>0</v>
      </c>
      <c r="H522" s="3" t="n">
        <v>0</v>
      </c>
      <c r="I522" s="3" t="n">
        <v>0</v>
      </c>
      <c r="J522" s="3" t="n">
        <v>0</v>
      </c>
    </row>
    <row r="523">
      <c r="A523" t="inlineStr">
        <is>
          <t>2027/7</t>
        </is>
      </c>
      <c r="B523" t="inlineStr">
        <is>
          <t>C/91000_27</t>
        </is>
      </c>
      <c r="C523" t="inlineStr">
        <is>
          <t>新取得BIM土木機電-26年</t>
        </is>
      </c>
      <c r="D523" t="inlineStr">
        <is>
          <t>內部</t>
        </is>
      </c>
      <c r="E523" t="inlineStr">
        <is>
          <t>內案</t>
        </is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</row>
    <row r="524">
      <c r="A524" t="inlineStr">
        <is>
          <t>2027/7</t>
        </is>
      </c>
      <c r="B524" t="inlineStr">
        <is>
          <t>C/91001_27</t>
        </is>
      </c>
      <c r="C524" t="inlineStr">
        <is>
          <t>新取得BIM土木機電-27年</t>
        </is>
      </c>
      <c r="D524" t="inlineStr">
        <is>
          <t>內部</t>
        </is>
      </c>
      <c r="E524" t="inlineStr">
        <is>
          <t>內案</t>
        </is>
      </c>
      <c r="F524" s="3" t="n">
        <v>357363</v>
      </c>
      <c r="G524" s="3" t="n">
        <v>178935</v>
      </c>
      <c r="H524" s="3" t="n">
        <v>536298</v>
      </c>
      <c r="I524" s="3" t="n">
        <v>0</v>
      </c>
      <c r="J524" s="3" t="n">
        <v>0</v>
      </c>
    </row>
    <row r="525">
      <c r="A525" t="inlineStr">
        <is>
          <t>2027/7</t>
        </is>
      </c>
      <c r="B525" t="inlineStr">
        <is>
          <t>C/91002_27</t>
        </is>
      </c>
      <c r="C525" t="inlineStr">
        <is>
          <t>新取得BIM土木機電-28年</t>
        </is>
      </c>
      <c r="D525" t="inlineStr">
        <is>
          <t>內部</t>
        </is>
      </c>
      <c r="E525" t="inlineStr">
        <is>
          <t>內案</t>
        </is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</row>
    <row r="526">
      <c r="A526" t="inlineStr">
        <is>
          <t>2027/7</t>
        </is>
      </c>
      <c r="B526" t="inlineStr">
        <is>
          <t>C/91003_27</t>
        </is>
      </c>
      <c r="C526" t="inlineStr">
        <is>
          <t>新取得BIM土木機電-29年</t>
        </is>
      </c>
      <c r="D526" t="inlineStr">
        <is>
          <t>內部</t>
        </is>
      </c>
      <c r="E526" t="inlineStr">
        <is>
          <t>內案</t>
        </is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</row>
    <row r="527">
      <c r="A527" t="inlineStr">
        <is>
          <t>2027/7</t>
        </is>
      </c>
      <c r="B527" t="inlineStr">
        <is>
          <t>C/91004_27</t>
        </is>
      </c>
      <c r="C527" t="inlineStr">
        <is>
          <t>新取得BIM土木機電-30年</t>
        </is>
      </c>
      <c r="D527" t="inlineStr">
        <is>
          <t>內部</t>
        </is>
      </c>
      <c r="E527" t="inlineStr">
        <is>
          <t>內案</t>
        </is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</row>
    <row r="528">
      <c r="A528" t="inlineStr">
        <is>
          <t>2027/7</t>
        </is>
      </c>
      <c r="B528" t="inlineStr">
        <is>
          <t>C/91005_27</t>
        </is>
      </c>
      <c r="C528" t="inlineStr">
        <is>
          <t>新取得BIM土木機電-31年</t>
        </is>
      </c>
      <c r="D528" t="inlineStr">
        <is>
          <t>內部</t>
        </is>
      </c>
      <c r="E528" t="inlineStr">
        <is>
          <t>內案</t>
        </is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</row>
    <row r="529">
      <c r="A529" t="inlineStr">
        <is>
          <t>2027/7</t>
        </is>
      </c>
      <c r="B529" t="inlineStr">
        <is>
          <t>C/9210F</t>
        </is>
      </c>
      <c r="C529" t="inlineStr">
        <is>
          <t>南港機廠BIM建築</t>
        </is>
      </c>
      <c r="D529" t="inlineStr">
        <is>
          <t>外部</t>
        </is>
      </c>
      <c r="E529" t="inlineStr">
        <is>
          <t>外案</t>
        </is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</row>
    <row r="530">
      <c r="A530" t="inlineStr">
        <is>
          <t>2027/7</t>
        </is>
      </c>
      <c r="B530" t="inlineStr">
        <is>
          <t>C/9210G</t>
        </is>
      </c>
      <c r="C530" t="inlineStr">
        <is>
          <t>富邦忠孝懷生BIM建築</t>
        </is>
      </c>
      <c r="D530" t="inlineStr">
        <is>
          <t>內部</t>
        </is>
      </c>
      <c r="E530" t="inlineStr">
        <is>
          <t>內案</t>
        </is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</row>
    <row r="531">
      <c r="A531" t="inlineStr">
        <is>
          <t>2027/7</t>
        </is>
      </c>
      <c r="B531" t="inlineStr">
        <is>
          <t>C/9220E</t>
        </is>
      </c>
      <c r="C531" t="inlineStr">
        <is>
          <t>柏鴻北士科 C/9100A-22A</t>
        </is>
      </c>
      <c r="D531" t="inlineStr">
        <is>
          <t>內部</t>
        </is>
      </c>
      <c r="E531" t="inlineStr">
        <is>
          <t>內案</t>
        </is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</row>
    <row r="532">
      <c r="A532" t="inlineStr">
        <is>
          <t>2027/7</t>
        </is>
      </c>
      <c r="B532" t="inlineStr">
        <is>
          <t>C/9230A</t>
        </is>
      </c>
      <c r="C532" t="inlineStr">
        <is>
          <t>信義兒福BIM建築</t>
        </is>
      </c>
      <c r="D532" t="inlineStr">
        <is>
          <t>外部</t>
        </is>
      </c>
      <c r="E532" t="inlineStr">
        <is>
          <t>外案</t>
        </is>
      </c>
      <c r="F532" s="3" t="n">
        <v>121249</v>
      </c>
      <c r="G532" s="3" t="n">
        <v>48147</v>
      </c>
      <c r="H532" s="3" t="n">
        <v>169396</v>
      </c>
      <c r="I532" s="3" t="n">
        <v>0</v>
      </c>
      <c r="J532" s="3" t="n">
        <v>0</v>
      </c>
    </row>
    <row r="533">
      <c r="A533" t="inlineStr">
        <is>
          <t>2027/7</t>
        </is>
      </c>
      <c r="B533" t="inlineStr">
        <is>
          <t>C/9230B</t>
        </is>
      </c>
      <c r="C533" t="inlineStr">
        <is>
          <t>北捷劍潭TOD</t>
        </is>
      </c>
      <c r="D533" t="inlineStr">
        <is>
          <t>內部</t>
        </is>
      </c>
      <c r="E533" t="inlineStr">
        <is>
          <t>內案</t>
        </is>
      </c>
      <c r="F533" s="3" t="n">
        <v>121950</v>
      </c>
      <c r="G533" s="3" t="n">
        <v>67521</v>
      </c>
      <c r="H533" s="3" t="n">
        <v>189471</v>
      </c>
      <c r="I533" s="3" t="n">
        <v>0</v>
      </c>
      <c r="J533" s="3" t="n">
        <v>150000</v>
      </c>
    </row>
    <row r="534">
      <c r="A534" t="inlineStr">
        <is>
          <t>2027/7</t>
        </is>
      </c>
      <c r="B534" t="inlineStr">
        <is>
          <t>C/9230C</t>
        </is>
      </c>
      <c r="C534" t="inlineStr">
        <is>
          <t>慶城福華-23年</t>
        </is>
      </c>
      <c r="D534" t="inlineStr">
        <is>
          <t>內部</t>
        </is>
      </c>
      <c r="E534" t="inlineStr">
        <is>
          <t>內案</t>
        </is>
      </c>
      <c r="F534" s="3" t="n">
        <v>1051</v>
      </c>
      <c r="G534" s="3" t="n">
        <v>571</v>
      </c>
      <c r="H534" s="3" t="n">
        <v>1622</v>
      </c>
      <c r="I534" s="3" t="n">
        <v>0</v>
      </c>
      <c r="J534" s="3" t="n">
        <v>0</v>
      </c>
    </row>
    <row r="535">
      <c r="A535" t="inlineStr">
        <is>
          <t>2027/7</t>
        </is>
      </c>
      <c r="B535" t="inlineStr">
        <is>
          <t>C/9240A</t>
        </is>
      </c>
      <c r="C535" t="inlineStr">
        <is>
          <t>南港國際一</t>
        </is>
      </c>
      <c r="D535" t="inlineStr">
        <is>
          <t>內部</t>
        </is>
      </c>
      <c r="E535" t="inlineStr">
        <is>
          <t>內案</t>
        </is>
      </c>
      <c r="F535" s="3" t="n">
        <v>3503</v>
      </c>
      <c r="G535" s="3" t="n">
        <v>3087</v>
      </c>
      <c r="H535" s="3" t="n">
        <v>6590</v>
      </c>
      <c r="I535" s="3" t="n">
        <v>0</v>
      </c>
      <c r="J535" s="3" t="n">
        <v>0</v>
      </c>
    </row>
    <row r="536">
      <c r="A536" t="inlineStr">
        <is>
          <t>2027/7</t>
        </is>
      </c>
      <c r="B536" t="inlineStr">
        <is>
          <t>C/9240B</t>
        </is>
      </c>
      <c r="C536" t="inlineStr">
        <is>
          <t xml:space="preserve">台中洲際BIM建築 </t>
        </is>
      </c>
      <c r="D536" t="inlineStr">
        <is>
          <t>內部</t>
        </is>
      </c>
      <c r="E536" t="inlineStr">
        <is>
          <t>內案</t>
        </is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</row>
    <row r="537">
      <c r="A537" t="inlineStr">
        <is>
          <t>2027/7</t>
        </is>
      </c>
      <c r="B537" t="inlineStr">
        <is>
          <t>C/9240C</t>
        </is>
      </c>
      <c r="C537" t="inlineStr">
        <is>
          <t xml:space="preserve">大直金泰BIM建築 </t>
        </is>
      </c>
      <c r="D537" t="inlineStr">
        <is>
          <t>內部</t>
        </is>
      </c>
      <c r="E537" t="inlineStr">
        <is>
          <t>內案</t>
        </is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</row>
    <row r="538">
      <c r="A538" t="inlineStr">
        <is>
          <t>2027/7</t>
        </is>
      </c>
      <c r="B538" t="inlineStr">
        <is>
          <t>C/9240D</t>
        </is>
      </c>
      <c r="C538" t="inlineStr">
        <is>
          <t xml:space="preserve">板橋新雅BIM建築 </t>
        </is>
      </c>
      <c r="D538" t="inlineStr">
        <is>
          <t>內部</t>
        </is>
      </c>
      <c r="E538" t="inlineStr">
        <is>
          <t>內案</t>
        </is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</row>
    <row r="539">
      <c r="A539" t="inlineStr">
        <is>
          <t>2027/7</t>
        </is>
      </c>
      <c r="B539" t="inlineStr">
        <is>
          <t>C/9240E</t>
        </is>
      </c>
      <c r="C539" t="inlineStr">
        <is>
          <t xml:space="preserve">板橋四維BIM建築 </t>
        </is>
      </c>
      <c r="D539" t="inlineStr">
        <is>
          <t>內部</t>
        </is>
      </c>
      <c r="E539" t="inlineStr">
        <is>
          <t>內案</t>
        </is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</row>
    <row r="540">
      <c r="A540" t="inlineStr">
        <is>
          <t>2027/7</t>
        </is>
      </c>
      <c r="B540" t="inlineStr">
        <is>
          <t>C/9240F</t>
        </is>
      </c>
      <c r="C540" t="inlineStr">
        <is>
          <t>台中新美齊</t>
        </is>
      </c>
      <c r="D540" t="inlineStr">
        <is>
          <t>內部</t>
        </is>
      </c>
      <c r="E540" t="inlineStr">
        <is>
          <t>內案</t>
        </is>
      </c>
      <c r="F540" s="3" t="n">
        <v>1051</v>
      </c>
      <c r="G540" s="3" t="n">
        <v>921</v>
      </c>
      <c r="H540" s="3" t="n">
        <v>1972</v>
      </c>
      <c r="I540" s="3" t="n">
        <v>0</v>
      </c>
      <c r="J540" s="3" t="n">
        <v>0</v>
      </c>
    </row>
    <row r="541">
      <c r="A541" t="inlineStr">
        <is>
          <t>2027/7</t>
        </is>
      </c>
      <c r="B541" t="inlineStr">
        <is>
          <t>C/9240G</t>
        </is>
      </c>
      <c r="C541" t="inlineStr">
        <is>
          <t>晨禎片片山閑</t>
        </is>
      </c>
      <c r="D541" t="inlineStr">
        <is>
          <t>外部</t>
        </is>
      </c>
      <c r="E541" t="inlineStr">
        <is>
          <t>外案</t>
        </is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</row>
    <row r="542">
      <c r="A542" t="inlineStr">
        <is>
          <t>2027/7</t>
        </is>
      </c>
      <c r="B542" t="inlineStr">
        <is>
          <t>C/9250A</t>
        </is>
      </c>
      <c r="C542" t="inlineStr">
        <is>
          <t>南機二區BIM服務</t>
        </is>
      </c>
      <c r="D542" t="inlineStr">
        <is>
          <t>內部</t>
        </is>
      </c>
      <c r="E542" t="inlineStr">
        <is>
          <t>內案</t>
        </is>
      </c>
      <c r="F542" s="3" t="n">
        <v>755017</v>
      </c>
      <c r="G542" s="3" t="n">
        <v>187508</v>
      </c>
      <c r="H542" s="3" t="n">
        <v>942525</v>
      </c>
      <c r="I542" s="3" t="n">
        <v>0</v>
      </c>
      <c r="J542" s="3" t="n">
        <v>895000</v>
      </c>
    </row>
    <row r="543">
      <c r="A543" t="inlineStr">
        <is>
          <t>2027/7</t>
        </is>
      </c>
      <c r="B543" t="inlineStr">
        <is>
          <t>C/9250B</t>
        </is>
      </c>
      <c r="C543" t="inlineStr">
        <is>
          <t>璞真南港總部</t>
        </is>
      </c>
      <c r="D543" t="inlineStr">
        <is>
          <t>內部</t>
        </is>
      </c>
      <c r="E543" t="inlineStr">
        <is>
          <t>內案</t>
        </is>
      </c>
      <c r="F543" s="3" t="n">
        <v>1752</v>
      </c>
      <c r="G543" s="3" t="n">
        <v>873</v>
      </c>
      <c r="H543" s="3" t="n">
        <v>2625</v>
      </c>
      <c r="I543" s="3" t="n">
        <v>0</v>
      </c>
      <c r="J543" s="3" t="n">
        <v>50000</v>
      </c>
    </row>
    <row r="544">
      <c r="A544" t="inlineStr">
        <is>
          <t>2027/7</t>
        </is>
      </c>
      <c r="B544" t="inlineStr">
        <is>
          <t>C/9250C</t>
        </is>
      </c>
      <c r="C544" t="inlineStr">
        <is>
          <t>築源南港</t>
        </is>
      </c>
      <c r="D544" t="inlineStr">
        <is>
          <t>內部</t>
        </is>
      </c>
      <c r="E544" t="inlineStr">
        <is>
          <t>內案</t>
        </is>
      </c>
      <c r="F544" s="3" t="n">
        <v>120899</v>
      </c>
      <c r="G544" s="3" t="n">
        <v>56513</v>
      </c>
      <c r="H544" s="3" t="n">
        <v>177412</v>
      </c>
      <c r="I544" s="3" t="n">
        <v>0</v>
      </c>
      <c r="J544" s="3" t="n">
        <v>197000</v>
      </c>
    </row>
    <row r="545">
      <c r="A545" t="inlineStr">
        <is>
          <t>2027/7</t>
        </is>
      </c>
      <c r="B545" t="inlineStr">
        <is>
          <t>C/9250D</t>
        </is>
      </c>
      <c r="C545" t="inlineStr">
        <is>
          <t>南港三重</t>
        </is>
      </c>
      <c r="D545" t="inlineStr">
        <is>
          <t>內部</t>
        </is>
      </c>
      <c r="E545" t="inlineStr">
        <is>
          <t>內案</t>
        </is>
      </c>
      <c r="F545" s="3" t="n">
        <v>66053</v>
      </c>
      <c r="G545" s="3" t="n">
        <v>30106</v>
      </c>
      <c r="H545" s="3" t="n">
        <v>96159</v>
      </c>
      <c r="I545" s="3" t="n">
        <v>0</v>
      </c>
      <c r="J545" s="3" t="n">
        <v>0</v>
      </c>
    </row>
    <row r="546">
      <c r="A546" t="inlineStr">
        <is>
          <t>2027/7</t>
        </is>
      </c>
      <c r="B546" t="inlineStr">
        <is>
          <t>C/9260A</t>
        </is>
      </c>
      <c r="C546" t="inlineStr">
        <is>
          <t>台中楓溪</t>
        </is>
      </c>
      <c r="D546" t="inlineStr">
        <is>
          <t>內部</t>
        </is>
      </c>
      <c r="E546" t="inlineStr">
        <is>
          <t>內案</t>
        </is>
      </c>
      <c r="F546" s="3" t="n">
        <v>1051</v>
      </c>
      <c r="G546" s="3" t="n">
        <v>479</v>
      </c>
      <c r="H546" s="3" t="n">
        <v>1530</v>
      </c>
      <c r="I546" s="3" t="n">
        <v>0</v>
      </c>
      <c r="J546" s="3" t="n">
        <v>294000</v>
      </c>
    </row>
    <row r="547">
      <c r="A547" t="inlineStr">
        <is>
          <t>2027/7</t>
        </is>
      </c>
      <c r="B547" t="inlineStr">
        <is>
          <t>C/9260B</t>
        </is>
      </c>
      <c r="C547" t="inlineStr">
        <is>
          <t>樺輝永鑄</t>
        </is>
      </c>
      <c r="D547" t="inlineStr">
        <is>
          <t>內部</t>
        </is>
      </c>
      <c r="E547" t="inlineStr">
        <is>
          <t>內案</t>
        </is>
      </c>
      <c r="F547" s="3" t="n">
        <v>121249</v>
      </c>
      <c r="G547" s="3" t="n">
        <v>23639</v>
      </c>
      <c r="H547" s="3" t="n">
        <v>144888</v>
      </c>
      <c r="I547" s="3" t="n">
        <v>0</v>
      </c>
      <c r="J547" s="3" t="n">
        <v>320000</v>
      </c>
    </row>
    <row r="548">
      <c r="A548" t="inlineStr">
        <is>
          <t>2027/7</t>
        </is>
      </c>
      <c r="B548" t="inlineStr">
        <is>
          <t>C/9260C</t>
        </is>
      </c>
      <c r="C548" t="inlineStr">
        <is>
          <t>中華郵政信維</t>
        </is>
      </c>
      <c r="D548" t="inlineStr">
        <is>
          <t>內部</t>
        </is>
      </c>
      <c r="E548" t="inlineStr">
        <is>
          <t>內案</t>
        </is>
      </c>
      <c r="F548" s="3" t="n">
        <v>121950</v>
      </c>
      <c r="G548" s="3" t="n">
        <v>52681</v>
      </c>
      <c r="H548" s="3" t="n">
        <v>174631</v>
      </c>
      <c r="I548" s="3" t="n">
        <v>0</v>
      </c>
      <c r="J548" s="3" t="n">
        <v>262500</v>
      </c>
    </row>
    <row r="549">
      <c r="A549" t="inlineStr">
        <is>
          <t>2027/7</t>
        </is>
      </c>
      <c r="B549" t="inlineStr">
        <is>
          <t>C/9260D</t>
        </is>
      </c>
      <c r="C549" t="inlineStr">
        <is>
          <t>大安復興</t>
        </is>
      </c>
      <c r="D549" t="inlineStr">
        <is>
          <t>內部</t>
        </is>
      </c>
      <c r="E549" t="inlineStr">
        <is>
          <t>內案</t>
        </is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85000</v>
      </c>
    </row>
    <row r="550">
      <c r="A550" t="inlineStr">
        <is>
          <t>2027/7</t>
        </is>
      </c>
      <c r="B550" t="inlineStr">
        <is>
          <t>C/9100B_26</t>
        </is>
      </c>
      <c r="C550" t="inlineStr">
        <is>
          <t>新取得BIM建築-26年</t>
        </is>
      </c>
      <c r="D550" t="inlineStr">
        <is>
          <t>內部</t>
        </is>
      </c>
      <c r="E550" t="inlineStr">
        <is>
          <t>內案</t>
        </is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</row>
    <row r="551">
      <c r="A551" t="inlineStr">
        <is>
          <t>2027/7</t>
        </is>
      </c>
      <c r="B551" t="inlineStr">
        <is>
          <t>C/9100A_27</t>
        </is>
      </c>
      <c r="C551" t="inlineStr">
        <is>
          <t>新取得BIM建築-26年</t>
        </is>
      </c>
      <c r="D551" t="inlineStr">
        <is>
          <t>內部</t>
        </is>
      </c>
      <c r="E551" t="inlineStr">
        <is>
          <t>內案</t>
        </is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</row>
    <row r="552">
      <c r="A552" t="inlineStr">
        <is>
          <t>2027/7</t>
        </is>
      </c>
      <c r="B552" t="inlineStr">
        <is>
          <t>C/9100B_27</t>
        </is>
      </c>
      <c r="C552" t="inlineStr">
        <is>
          <t>新取得BIM建築-27年</t>
        </is>
      </c>
      <c r="D552" t="inlineStr">
        <is>
          <t>內部</t>
        </is>
      </c>
      <c r="E552" t="inlineStr">
        <is>
          <t>內案</t>
        </is>
      </c>
      <c r="F552" s="3" t="n">
        <v>965086</v>
      </c>
      <c r="G552" s="3" t="n">
        <v>365297</v>
      </c>
      <c r="H552" s="3" t="n">
        <v>1330383</v>
      </c>
      <c r="I552" s="3" t="n">
        <v>0</v>
      </c>
      <c r="J552" s="3" t="n">
        <v>1400000</v>
      </c>
    </row>
    <row r="553">
      <c r="A553" t="inlineStr">
        <is>
          <t>2027/7</t>
        </is>
      </c>
      <c r="B553" t="inlineStr">
        <is>
          <t>C/9100C_27</t>
        </is>
      </c>
      <c r="C553" t="inlineStr">
        <is>
          <t>新取得BIM建築-28年</t>
        </is>
      </c>
      <c r="D553" t="inlineStr">
        <is>
          <t>內部</t>
        </is>
      </c>
      <c r="E553" t="inlineStr">
        <is>
          <t>內案</t>
        </is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</row>
    <row r="554">
      <c r="A554" t="inlineStr">
        <is>
          <t>2027/7</t>
        </is>
      </c>
      <c r="B554" t="inlineStr">
        <is>
          <t>C/9100D_27</t>
        </is>
      </c>
      <c r="C554" t="inlineStr">
        <is>
          <t>新取得BIM建築-29年</t>
        </is>
      </c>
      <c r="D554" t="inlineStr">
        <is>
          <t>內部</t>
        </is>
      </c>
      <c r="E554" t="inlineStr">
        <is>
          <t>內案</t>
        </is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</row>
    <row r="555">
      <c r="A555" t="inlineStr">
        <is>
          <t>2027/7</t>
        </is>
      </c>
      <c r="B555" t="inlineStr">
        <is>
          <t>C/9100E_27</t>
        </is>
      </c>
      <c r="C555" t="inlineStr">
        <is>
          <t>新取得BIM建築-30年</t>
        </is>
      </c>
      <c r="D555" t="inlineStr">
        <is>
          <t>內部</t>
        </is>
      </c>
      <c r="E555" t="inlineStr">
        <is>
          <t>內案</t>
        </is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</row>
    <row r="556">
      <c r="A556" t="inlineStr">
        <is>
          <t>2027/7</t>
        </is>
      </c>
      <c r="B556" t="inlineStr">
        <is>
          <t>C/9100F_27</t>
        </is>
      </c>
      <c r="C556" t="inlineStr">
        <is>
          <t>新取得BIM建築-31年</t>
        </is>
      </c>
      <c r="D556" t="inlineStr">
        <is>
          <t>內部</t>
        </is>
      </c>
      <c r="E556" t="inlineStr">
        <is>
          <t>內案</t>
        </is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</row>
    <row r="557">
      <c r="A557" t="inlineStr">
        <is>
          <t>2027/7</t>
        </is>
      </c>
      <c r="B557" t="inlineStr">
        <is>
          <t>C/99992</t>
        </is>
      </c>
      <c r="C557" t="inlineStr">
        <is>
          <t>雜項BIM土木機電</t>
        </is>
      </c>
      <c r="D557" t="inlineStr">
        <is>
          <t>內/無</t>
        </is>
      </c>
      <c r="E557" t="inlineStr">
        <is>
          <t>雜項</t>
        </is>
      </c>
      <c r="F557" s="3" t="n">
        <v>23824</v>
      </c>
      <c r="G557" s="3" t="n">
        <v>5676</v>
      </c>
      <c r="H557" s="3" t="n">
        <v>29500</v>
      </c>
      <c r="I557" s="3" t="n">
        <v>0</v>
      </c>
      <c r="J557" s="3" t="n">
        <v>29500</v>
      </c>
    </row>
    <row r="558">
      <c r="A558" t="inlineStr">
        <is>
          <t>2027/7</t>
        </is>
      </c>
      <c r="B558" t="inlineStr">
        <is>
          <t>C/99992-1</t>
        </is>
      </c>
      <c r="C558" t="inlineStr">
        <is>
          <t>雜項BIM土木機電(外案收入)</t>
        </is>
      </c>
      <c r="D558" t="inlineStr">
        <is>
          <t>外部</t>
        </is>
      </c>
      <c r="E558" t="inlineStr">
        <is>
          <t>外案</t>
        </is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</row>
    <row r="559">
      <c r="A559" t="inlineStr">
        <is>
          <t>2027/7</t>
        </is>
      </c>
      <c r="B559" t="inlineStr">
        <is>
          <t>C/99993</t>
        </is>
      </c>
      <c r="C559" t="inlineStr">
        <is>
          <t>備標BIM土木機電</t>
        </is>
      </c>
      <c r="D559" t="inlineStr">
        <is>
          <t>備標</t>
        </is>
      </c>
      <c r="E559" t="inlineStr">
        <is>
          <t>備標</t>
        </is>
      </c>
      <c r="F559" s="3" t="n">
        <v>59561</v>
      </c>
      <c r="G559" s="3" t="n">
        <v>-59561</v>
      </c>
      <c r="H559" s="3" t="n">
        <v>0</v>
      </c>
      <c r="I559" s="3" t="n">
        <v>0</v>
      </c>
      <c r="J559" s="3" t="n">
        <v>0</v>
      </c>
    </row>
    <row r="560">
      <c r="A560" t="inlineStr">
        <is>
          <t>2027/7</t>
        </is>
      </c>
      <c r="B560" t="inlineStr">
        <is>
          <t>C/9999B</t>
        </is>
      </c>
      <c r="C560" t="inlineStr">
        <is>
          <t>雜項BIM建築</t>
        </is>
      </c>
      <c r="D560" t="inlineStr">
        <is>
          <t>內/無</t>
        </is>
      </c>
      <c r="E560" t="inlineStr">
        <is>
          <t>雜項</t>
        </is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</row>
    <row r="561">
      <c r="A561" t="inlineStr">
        <is>
          <t>2027/7</t>
        </is>
      </c>
      <c r="B561" t="inlineStr">
        <is>
          <t>C/9999D</t>
        </is>
      </c>
      <c r="C561" t="inlineStr">
        <is>
          <t>備標BIM建築</t>
        </is>
      </c>
      <c r="D561" t="inlineStr">
        <is>
          <t>備標</t>
        </is>
      </c>
      <c r="E561" t="inlineStr">
        <is>
          <t>備標</t>
        </is>
      </c>
      <c r="F561" s="3" t="n">
        <v>0</v>
      </c>
      <c r="G561" s="3" t="n">
        <v>0</v>
      </c>
      <c r="H561" s="3" t="n">
        <v>0</v>
      </c>
      <c r="I561" s="3" t="n">
        <v>0</v>
      </c>
      <c r="J561" s="3" t="n">
        <v>0</v>
      </c>
    </row>
    <row r="562">
      <c r="A562" t="inlineStr">
        <is>
          <t>2027/8</t>
        </is>
      </c>
      <c r="B562" t="inlineStr">
        <is>
          <t>C/92103</t>
        </is>
      </c>
      <c r="C562" t="inlineStr">
        <is>
          <t>CQ840 BIM</t>
        </is>
      </c>
      <c r="D562" t="inlineStr">
        <is>
          <t>內部</t>
        </is>
      </c>
      <c r="E562" t="inlineStr">
        <is>
          <t>內案</t>
        </is>
      </c>
      <c r="F562" s="3" t="n">
        <v>158431</v>
      </c>
      <c r="G562" s="3" t="n">
        <v>-26937</v>
      </c>
      <c r="H562" s="3" t="n">
        <v>131494</v>
      </c>
      <c r="I562" s="3" t="n">
        <v>26937</v>
      </c>
      <c r="J562" s="3" t="n">
        <v>0</v>
      </c>
    </row>
    <row r="563">
      <c r="A563" t="inlineStr">
        <is>
          <t>2027/8</t>
        </is>
      </c>
      <c r="B563" t="inlineStr">
        <is>
          <t>C/92202</t>
        </is>
      </c>
      <c r="C563" t="inlineStr">
        <is>
          <t>CF680C BIM</t>
        </is>
      </c>
      <c r="D563" t="inlineStr">
        <is>
          <t>內部</t>
        </is>
      </c>
      <c r="E563" t="inlineStr">
        <is>
          <t>內案</t>
        </is>
      </c>
      <c r="F563" s="3" t="n">
        <v>26133</v>
      </c>
      <c r="G563" s="3" t="n">
        <v>12567</v>
      </c>
      <c r="H563" s="3" t="n">
        <v>38700</v>
      </c>
      <c r="I563" s="3" t="n">
        <v>0</v>
      </c>
      <c r="J563" s="3" t="n">
        <v>0</v>
      </c>
    </row>
    <row r="564">
      <c r="A564" t="inlineStr">
        <is>
          <t>2027/8</t>
        </is>
      </c>
      <c r="B564" t="inlineStr">
        <is>
          <t>C/92203</t>
        </is>
      </c>
      <c r="C564" t="inlineStr">
        <is>
          <t>N－WH BIM</t>
        </is>
      </c>
      <c r="D564" t="inlineStr">
        <is>
          <t>內部</t>
        </is>
      </c>
      <c r="E564" t="inlineStr">
        <is>
          <t>內案</t>
        </is>
      </c>
      <c r="F564" s="3" t="n">
        <v>26206</v>
      </c>
      <c r="G564" s="3" t="n">
        <v>9056</v>
      </c>
      <c r="H564" s="3" t="n">
        <v>35262</v>
      </c>
      <c r="I564" s="3" t="n">
        <v>0</v>
      </c>
      <c r="J564" s="3" t="n">
        <v>75000</v>
      </c>
    </row>
    <row r="565">
      <c r="A565" t="inlineStr">
        <is>
          <t>2027/8</t>
        </is>
      </c>
      <c r="B565" t="inlineStr">
        <is>
          <t>C/92204</t>
        </is>
      </c>
      <c r="C565" t="inlineStr">
        <is>
          <t>國揚吉林機電</t>
        </is>
      </c>
      <c r="D565" t="inlineStr">
        <is>
          <t>內部</t>
        </is>
      </c>
      <c r="E565" t="inlineStr">
        <is>
          <t>內案</t>
        </is>
      </c>
      <c r="F565" s="3" t="n">
        <v>0</v>
      </c>
      <c r="G565" s="3" t="n">
        <v>0</v>
      </c>
      <c r="H565" s="3" t="n">
        <v>0</v>
      </c>
      <c r="I565" s="3" t="n">
        <v>0</v>
      </c>
      <c r="J565" s="3" t="n">
        <v>0</v>
      </c>
    </row>
    <row r="566">
      <c r="A566" t="inlineStr">
        <is>
          <t>2027/8</t>
        </is>
      </c>
      <c r="B566" t="inlineStr">
        <is>
          <t>C/92301</t>
        </is>
      </c>
      <c r="C566" t="inlineStr">
        <is>
          <t>CF670A BIM 土木機電</t>
        </is>
      </c>
      <c r="D566" t="inlineStr">
        <is>
          <t>內部</t>
        </is>
      </c>
      <c r="E566" t="inlineStr">
        <is>
          <t>內案</t>
        </is>
      </c>
      <c r="F566" s="3" t="n">
        <v>33280</v>
      </c>
      <c r="G566" s="3" t="n">
        <v>3823</v>
      </c>
      <c r="H566" s="3" t="n">
        <v>37103</v>
      </c>
      <c r="I566" s="3" t="n">
        <v>0</v>
      </c>
      <c r="J566" s="3" t="n">
        <v>30000</v>
      </c>
    </row>
    <row r="567">
      <c r="A567" t="inlineStr">
        <is>
          <t>2027/8</t>
        </is>
      </c>
      <c r="B567" t="inlineStr">
        <is>
          <t>C/92302</t>
        </is>
      </c>
      <c r="C567" t="inlineStr">
        <is>
          <t>富邦忠孝懷生BIM機電</t>
        </is>
      </c>
      <c r="D567" t="inlineStr">
        <is>
          <t>內部</t>
        </is>
      </c>
      <c r="E567" t="inlineStr">
        <is>
          <t>內案</t>
        </is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</row>
    <row r="568">
      <c r="A568" t="inlineStr">
        <is>
          <t>2027/8</t>
        </is>
      </c>
      <c r="B568" t="inlineStr">
        <is>
          <t>C/92303</t>
        </is>
      </c>
      <c r="C568" t="inlineStr">
        <is>
          <t>信義兒福BIM機電</t>
        </is>
      </c>
      <c r="D568" t="inlineStr">
        <is>
          <t>外部</t>
        </is>
      </c>
      <c r="E568" t="inlineStr">
        <is>
          <t>外案</t>
        </is>
      </c>
      <c r="F568" s="3" t="n">
        <v>39310</v>
      </c>
      <c r="G568" s="3" t="n">
        <v>9503</v>
      </c>
      <c r="H568" s="3" t="n">
        <v>48813</v>
      </c>
      <c r="I568" s="3" t="n">
        <v>0</v>
      </c>
      <c r="J568" s="3" t="n">
        <v>0</v>
      </c>
    </row>
    <row r="569">
      <c r="A569" t="inlineStr">
        <is>
          <t>2027/8</t>
        </is>
      </c>
      <c r="B569" t="inlineStr">
        <is>
          <t>C/92304</t>
        </is>
      </c>
      <c r="C569" t="inlineStr">
        <is>
          <t>捷運劍潭站TOD統包BIM機電</t>
        </is>
      </c>
      <c r="D569" t="inlineStr">
        <is>
          <t>內部</t>
        </is>
      </c>
      <c r="E569" t="inlineStr">
        <is>
          <t>內案</t>
        </is>
      </c>
      <c r="F569" s="3" t="n">
        <v>119121</v>
      </c>
      <c r="G569" s="3" t="n">
        <v>12834</v>
      </c>
      <c r="H569" s="3" t="n">
        <v>131955</v>
      </c>
      <c r="I569" s="3" t="n">
        <v>0</v>
      </c>
      <c r="J569" s="3" t="n">
        <v>160000</v>
      </c>
    </row>
    <row r="570">
      <c r="A570" t="inlineStr">
        <is>
          <t>2027/8</t>
        </is>
      </c>
      <c r="B570" t="inlineStr">
        <is>
          <t>C/92401</t>
        </is>
      </c>
      <c r="C570" t="inlineStr">
        <is>
          <t>CJ17 土木機電</t>
        </is>
      </c>
      <c r="D570" t="inlineStr">
        <is>
          <t>內部</t>
        </is>
      </c>
      <c r="E570" t="inlineStr">
        <is>
          <t>內案</t>
        </is>
      </c>
      <c r="F570" s="3" t="n">
        <v>51149</v>
      </c>
      <c r="G570" s="3" t="n">
        <v>24763</v>
      </c>
      <c r="H570" s="3" t="n">
        <v>75912</v>
      </c>
      <c r="I570" s="3" t="n">
        <v>0</v>
      </c>
      <c r="J570" s="3" t="n">
        <v>431668</v>
      </c>
    </row>
    <row r="571">
      <c r="A571" t="inlineStr">
        <is>
          <t>2027/8</t>
        </is>
      </c>
      <c r="B571" t="inlineStr">
        <is>
          <t>C/92501</t>
        </is>
      </c>
      <c r="C571" t="inlineStr">
        <is>
          <t>CF670 BIM土木機電</t>
        </is>
      </c>
      <c r="D571" t="inlineStr">
        <is>
          <t>內部</t>
        </is>
      </c>
      <c r="E571" t="inlineStr">
        <is>
          <t>內案</t>
        </is>
      </c>
      <c r="F571" s="3" t="n">
        <v>182182</v>
      </c>
      <c r="G571" s="3" t="n">
        <v>86999</v>
      </c>
      <c r="H571" s="3" t="n">
        <v>269181</v>
      </c>
      <c r="I571" s="3" t="n">
        <v>0</v>
      </c>
      <c r="J571" s="3" t="n">
        <v>230000</v>
      </c>
    </row>
    <row r="572">
      <c r="A572" t="inlineStr">
        <is>
          <t>2027/8</t>
        </is>
      </c>
      <c r="B572" t="inlineStr">
        <is>
          <t>C/92502</t>
        </is>
      </c>
      <c r="C572" t="inlineStr">
        <is>
          <t>擎邦-聯發科機電</t>
        </is>
      </c>
      <c r="D572" t="inlineStr">
        <is>
          <t>外部</t>
        </is>
      </c>
      <c r="E572" t="inlineStr">
        <is>
          <t>外案</t>
        </is>
      </c>
      <c r="F572" s="3" t="n">
        <v>119121</v>
      </c>
      <c r="G572" s="3" t="n">
        <v>92634</v>
      </c>
      <c r="H572" s="3" t="n">
        <v>211755</v>
      </c>
      <c r="I572" s="3" t="n">
        <v>0</v>
      </c>
      <c r="J572" s="3" t="n">
        <v>0</v>
      </c>
    </row>
    <row r="573">
      <c r="A573" t="inlineStr">
        <is>
          <t>2027/8</t>
        </is>
      </c>
      <c r="B573" t="inlineStr">
        <is>
          <t>C/92503</t>
        </is>
      </c>
      <c r="C573" t="inlineStr">
        <is>
          <t>CF690B BIM土木</t>
        </is>
      </c>
      <c r="D573" t="inlineStr">
        <is>
          <t>外部</t>
        </is>
      </c>
      <c r="E573" t="inlineStr">
        <is>
          <t>外案</t>
        </is>
      </c>
      <c r="F573" s="3" t="n">
        <v>39236</v>
      </c>
      <c r="G573" s="3" t="n">
        <v>16360</v>
      </c>
      <c r="H573" s="3" t="n">
        <v>55596</v>
      </c>
      <c r="I573" s="3" t="n">
        <v>0</v>
      </c>
      <c r="J573" s="3" t="n">
        <v>0</v>
      </c>
    </row>
    <row r="574">
      <c r="A574" t="inlineStr">
        <is>
          <t>2027/8</t>
        </is>
      </c>
      <c r="B574" t="inlineStr">
        <is>
          <t>C/92504</t>
        </is>
      </c>
      <c r="C574" t="inlineStr">
        <is>
          <t>擎邦-員榮總醫院BIM</t>
        </is>
      </c>
      <c r="D574" t="inlineStr">
        <is>
          <t>外部</t>
        </is>
      </c>
      <c r="E574" t="inlineStr">
        <is>
          <t>外案</t>
        </is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</row>
    <row r="575">
      <c r="A575" t="inlineStr">
        <is>
          <t>2027/8</t>
        </is>
      </c>
      <c r="B575" t="inlineStr">
        <is>
          <t>C/92601</t>
        </is>
      </c>
      <c r="C575" t="inlineStr">
        <is>
          <t>擎邦-聯發科銅鑼</t>
        </is>
      </c>
      <c r="D575" t="inlineStr">
        <is>
          <t>外部</t>
        </is>
      </c>
      <c r="E575" t="inlineStr">
        <is>
          <t>外案</t>
        </is>
      </c>
      <c r="F575" s="3" t="n">
        <v>0</v>
      </c>
      <c r="G575" s="3" t="n">
        <v>0</v>
      </c>
      <c r="H575" s="3" t="n">
        <v>0</v>
      </c>
      <c r="I575" s="3" t="n">
        <v>0</v>
      </c>
      <c r="J575" s="3" t="n">
        <v>0</v>
      </c>
    </row>
    <row r="576">
      <c r="A576" t="inlineStr">
        <is>
          <t>2027/8</t>
        </is>
      </c>
      <c r="B576" t="inlineStr">
        <is>
          <t>C/92602</t>
        </is>
      </c>
      <c r="C576" t="inlineStr">
        <is>
          <t>擎邦-CF624F機電(CF690B機電)</t>
        </is>
      </c>
      <c r="D576" t="inlineStr">
        <is>
          <t>外部</t>
        </is>
      </c>
      <c r="E576" t="inlineStr">
        <is>
          <t>外案</t>
        </is>
      </c>
      <c r="F576" s="3" t="n">
        <v>238242</v>
      </c>
      <c r="G576" s="3" t="n">
        <v>111167</v>
      </c>
      <c r="H576" s="3" t="n">
        <v>349409</v>
      </c>
      <c r="I576" s="3" t="n">
        <v>0</v>
      </c>
      <c r="J576" s="3" t="n">
        <v>0</v>
      </c>
    </row>
    <row r="577">
      <c r="A577" t="inlineStr">
        <is>
          <t>2027/8</t>
        </is>
      </c>
      <c r="B577" t="inlineStr">
        <is>
          <t>C/92603</t>
        </is>
      </c>
      <c r="C577" t="inlineStr">
        <is>
          <t>中華郵政信維機電</t>
        </is>
      </c>
      <c r="D577" t="inlineStr">
        <is>
          <t>內部</t>
        </is>
      </c>
      <c r="E577" t="inlineStr">
        <is>
          <t>內案</t>
        </is>
      </c>
      <c r="F577" s="3" t="n">
        <v>238242</v>
      </c>
      <c r="G577" s="3" t="n">
        <v>116968</v>
      </c>
      <c r="H577" s="3" t="n">
        <v>355210</v>
      </c>
      <c r="I577" s="3" t="n">
        <v>0</v>
      </c>
      <c r="J577" s="3" t="n">
        <v>392000</v>
      </c>
    </row>
    <row r="578">
      <c r="A578" t="inlineStr">
        <is>
          <t>2027/8</t>
        </is>
      </c>
      <c r="B578" t="inlineStr">
        <is>
          <t>C/91001_26</t>
        </is>
      </c>
      <c r="C578" t="inlineStr">
        <is>
          <t>新取得BIM土木機電-26年</t>
        </is>
      </c>
      <c r="D578" t="inlineStr">
        <is>
          <t>內部</t>
        </is>
      </c>
      <c r="E578" t="inlineStr">
        <is>
          <t>內案</t>
        </is>
      </c>
      <c r="F578" s="3" t="n">
        <v>0</v>
      </c>
      <c r="G578" s="3" t="n">
        <v>0</v>
      </c>
      <c r="H578" s="3" t="n">
        <v>0</v>
      </c>
      <c r="I578" s="3" t="n">
        <v>0</v>
      </c>
      <c r="J578" s="3" t="n">
        <v>0</v>
      </c>
    </row>
    <row r="579">
      <c r="A579" t="inlineStr">
        <is>
          <t>2027/8</t>
        </is>
      </c>
      <c r="B579" t="inlineStr">
        <is>
          <t>C/91000_27</t>
        </is>
      </c>
      <c r="C579" t="inlineStr">
        <is>
          <t>新取得BIM土木機電-26年</t>
        </is>
      </c>
      <c r="D579" t="inlineStr">
        <is>
          <t>內部</t>
        </is>
      </c>
      <c r="E579" t="inlineStr">
        <is>
          <t>內案</t>
        </is>
      </c>
      <c r="F579" s="3" t="n">
        <v>0</v>
      </c>
      <c r="G579" s="3" t="n">
        <v>0</v>
      </c>
      <c r="H579" s="3" t="n">
        <v>0</v>
      </c>
      <c r="I579" s="3" t="n">
        <v>0</v>
      </c>
      <c r="J579" s="3" t="n">
        <v>0</v>
      </c>
    </row>
    <row r="580">
      <c r="A580" t="inlineStr">
        <is>
          <t>2027/8</t>
        </is>
      </c>
      <c r="B580" t="inlineStr">
        <is>
          <t>C/91001_27</t>
        </is>
      </c>
      <c r="C580" t="inlineStr">
        <is>
          <t>新取得BIM土木機電-27年</t>
        </is>
      </c>
      <c r="D580" t="inlineStr">
        <is>
          <t>內部</t>
        </is>
      </c>
      <c r="E580" t="inlineStr">
        <is>
          <t>內案</t>
        </is>
      </c>
      <c r="F580" s="3" t="n">
        <v>476484</v>
      </c>
      <c r="G580" s="3" t="n">
        <v>-476484</v>
      </c>
      <c r="H580" s="3" t="n">
        <v>0</v>
      </c>
      <c r="I580" s="3" t="n">
        <v>0</v>
      </c>
      <c r="J580" s="3" t="n">
        <v>0</v>
      </c>
    </row>
    <row r="581">
      <c r="A581" t="inlineStr">
        <is>
          <t>2027/8</t>
        </is>
      </c>
      <c r="B581" t="inlineStr">
        <is>
          <t>C/91002_27</t>
        </is>
      </c>
      <c r="C581" t="inlineStr">
        <is>
          <t>新取得BIM土木機電-28年</t>
        </is>
      </c>
      <c r="D581" t="inlineStr">
        <is>
          <t>內部</t>
        </is>
      </c>
      <c r="E581" t="inlineStr">
        <is>
          <t>內案</t>
        </is>
      </c>
      <c r="F581" s="3" t="n">
        <v>0</v>
      </c>
      <c r="G581" s="3" t="n">
        <v>0</v>
      </c>
      <c r="H581" s="3" t="n">
        <v>0</v>
      </c>
      <c r="I581" s="3" t="n">
        <v>0</v>
      </c>
      <c r="J581" s="3" t="n">
        <v>0</v>
      </c>
    </row>
    <row r="582">
      <c r="A582" t="inlineStr">
        <is>
          <t>2027/8</t>
        </is>
      </c>
      <c r="B582" t="inlineStr">
        <is>
          <t>C/91003_27</t>
        </is>
      </c>
      <c r="C582" t="inlineStr">
        <is>
          <t>新取得BIM土木機電-29年</t>
        </is>
      </c>
      <c r="D582" t="inlineStr">
        <is>
          <t>內部</t>
        </is>
      </c>
      <c r="E582" t="inlineStr">
        <is>
          <t>內案</t>
        </is>
      </c>
      <c r="F582" s="3" t="n">
        <v>0</v>
      </c>
      <c r="G582" s="3" t="n">
        <v>0</v>
      </c>
      <c r="H582" s="3" t="n">
        <v>0</v>
      </c>
      <c r="I582" s="3" t="n">
        <v>0</v>
      </c>
      <c r="J582" s="3" t="n">
        <v>0</v>
      </c>
    </row>
    <row r="583">
      <c r="A583" t="inlineStr">
        <is>
          <t>2027/8</t>
        </is>
      </c>
      <c r="B583" t="inlineStr">
        <is>
          <t>C/91004_27</t>
        </is>
      </c>
      <c r="C583" t="inlineStr">
        <is>
          <t>新取得BIM土木機電-30年</t>
        </is>
      </c>
      <c r="D583" t="inlineStr">
        <is>
          <t>內部</t>
        </is>
      </c>
      <c r="E583" t="inlineStr">
        <is>
          <t>內案</t>
        </is>
      </c>
      <c r="F583" s="3" t="n">
        <v>0</v>
      </c>
      <c r="G583" s="3" t="n">
        <v>0</v>
      </c>
      <c r="H583" s="3" t="n">
        <v>0</v>
      </c>
      <c r="I583" s="3" t="n">
        <v>0</v>
      </c>
      <c r="J583" s="3" t="n">
        <v>0</v>
      </c>
    </row>
    <row r="584">
      <c r="A584" t="inlineStr">
        <is>
          <t>2027/8</t>
        </is>
      </c>
      <c r="B584" t="inlineStr">
        <is>
          <t>C/91005_27</t>
        </is>
      </c>
      <c r="C584" t="inlineStr">
        <is>
          <t>新取得BIM土木機電-31年</t>
        </is>
      </c>
      <c r="D584" t="inlineStr">
        <is>
          <t>內部</t>
        </is>
      </c>
      <c r="E584" t="inlineStr">
        <is>
          <t>內案</t>
        </is>
      </c>
      <c r="F584" s="3" t="n">
        <v>0</v>
      </c>
      <c r="G584" s="3" t="n">
        <v>0</v>
      </c>
      <c r="H584" s="3" t="n">
        <v>0</v>
      </c>
      <c r="I584" s="3" t="n">
        <v>0</v>
      </c>
      <c r="J584" s="3" t="n">
        <v>0</v>
      </c>
    </row>
    <row r="585">
      <c r="A585" t="inlineStr">
        <is>
          <t>2027/8</t>
        </is>
      </c>
      <c r="B585" t="inlineStr">
        <is>
          <t>C/9210F</t>
        </is>
      </c>
      <c r="C585" t="inlineStr">
        <is>
          <t>南港機廠BIM建築</t>
        </is>
      </c>
      <c r="D585" t="inlineStr">
        <is>
          <t>外部</t>
        </is>
      </c>
      <c r="E585" t="inlineStr">
        <is>
          <t>外案</t>
        </is>
      </c>
      <c r="F585" s="3" t="n">
        <v>0</v>
      </c>
      <c r="G585" s="3" t="n">
        <v>0</v>
      </c>
      <c r="H585" s="3" t="n">
        <v>0</v>
      </c>
      <c r="I585" s="3" t="n">
        <v>0</v>
      </c>
      <c r="J585" s="3" t="n">
        <v>0</v>
      </c>
    </row>
    <row r="586">
      <c r="A586" t="inlineStr">
        <is>
          <t>2027/8</t>
        </is>
      </c>
      <c r="B586" t="inlineStr">
        <is>
          <t>C/9210G</t>
        </is>
      </c>
      <c r="C586" t="inlineStr">
        <is>
          <t>富邦忠孝懷生BIM建築</t>
        </is>
      </c>
      <c r="D586" t="inlineStr">
        <is>
          <t>內部</t>
        </is>
      </c>
      <c r="E586" t="inlineStr">
        <is>
          <t>內案</t>
        </is>
      </c>
      <c r="F586" s="3" t="n">
        <v>0</v>
      </c>
      <c r="G586" s="3" t="n">
        <v>0</v>
      </c>
      <c r="H586" s="3" t="n">
        <v>0</v>
      </c>
      <c r="I586" s="3" t="n">
        <v>0</v>
      </c>
      <c r="J586" s="3" t="n">
        <v>0</v>
      </c>
    </row>
    <row r="587">
      <c r="A587" t="inlineStr">
        <is>
          <t>2027/8</t>
        </is>
      </c>
      <c r="B587" t="inlineStr">
        <is>
          <t>C/9220E</t>
        </is>
      </c>
      <c r="C587" t="inlineStr">
        <is>
          <t>柏鴻北士科 C/9100A-22A</t>
        </is>
      </c>
      <c r="D587" t="inlineStr">
        <is>
          <t>內部</t>
        </is>
      </c>
      <c r="E587" t="inlineStr">
        <is>
          <t>內案</t>
        </is>
      </c>
      <c r="F587" s="3" t="n">
        <v>0</v>
      </c>
      <c r="G587" s="3" t="n">
        <v>0</v>
      </c>
      <c r="H587" s="3" t="n">
        <v>0</v>
      </c>
      <c r="I587" s="3" t="n">
        <v>0</v>
      </c>
      <c r="J587" s="3" t="n">
        <v>0</v>
      </c>
    </row>
    <row r="588">
      <c r="A588" t="inlineStr">
        <is>
          <t>2027/8</t>
        </is>
      </c>
      <c r="B588" t="inlineStr">
        <is>
          <t>C/9230A</t>
        </is>
      </c>
      <c r="C588" t="inlineStr">
        <is>
          <t>信義兒福BIM建築</t>
        </is>
      </c>
      <c r="D588" t="inlineStr">
        <is>
          <t>外部</t>
        </is>
      </c>
      <c r="E588" t="inlineStr">
        <is>
          <t>外案</t>
        </is>
      </c>
      <c r="F588" s="3" t="n">
        <v>122096</v>
      </c>
      <c r="G588" s="3" t="n">
        <v>48483</v>
      </c>
      <c r="H588" s="3" t="n">
        <v>170579</v>
      </c>
      <c r="I588" s="3" t="n">
        <v>0</v>
      </c>
      <c r="J588" s="3" t="n">
        <v>0</v>
      </c>
    </row>
    <row r="589">
      <c r="A589" t="inlineStr">
        <is>
          <t>2027/8</t>
        </is>
      </c>
      <c r="B589" t="inlineStr">
        <is>
          <t>C/9230B</t>
        </is>
      </c>
      <c r="C589" t="inlineStr">
        <is>
          <t>北捷劍潭TOD</t>
        </is>
      </c>
      <c r="D589" t="inlineStr">
        <is>
          <t>內部</t>
        </is>
      </c>
      <c r="E589" t="inlineStr">
        <is>
          <t>內案</t>
        </is>
      </c>
      <c r="F589" s="3" t="n">
        <v>122866</v>
      </c>
      <c r="G589" s="3" t="n">
        <v>68029</v>
      </c>
      <c r="H589" s="3" t="n">
        <v>190895</v>
      </c>
      <c r="I589" s="3" t="n">
        <v>0</v>
      </c>
      <c r="J589" s="3" t="n">
        <v>150000</v>
      </c>
    </row>
    <row r="590">
      <c r="A590" t="inlineStr">
        <is>
          <t>2027/8</t>
        </is>
      </c>
      <c r="B590" t="inlineStr">
        <is>
          <t>C/9230C</t>
        </is>
      </c>
      <c r="C590" t="inlineStr">
        <is>
          <t>慶城福華-23年</t>
        </is>
      </c>
      <c r="D590" t="inlineStr">
        <is>
          <t>內部</t>
        </is>
      </c>
      <c r="E590" t="inlineStr">
        <is>
          <t>內案</t>
        </is>
      </c>
      <c r="F590" s="3" t="n">
        <v>0</v>
      </c>
      <c r="G590" s="3" t="n">
        <v>0</v>
      </c>
      <c r="H590" s="3" t="n">
        <v>0</v>
      </c>
      <c r="I590" s="3" t="n">
        <v>0</v>
      </c>
      <c r="J590" s="3" t="n">
        <v>0</v>
      </c>
    </row>
    <row r="591">
      <c r="A591" t="inlineStr">
        <is>
          <t>2027/8</t>
        </is>
      </c>
      <c r="B591" t="inlineStr">
        <is>
          <t>C/9240A</t>
        </is>
      </c>
      <c r="C591" t="inlineStr">
        <is>
          <t>南港國際一</t>
        </is>
      </c>
      <c r="D591" t="inlineStr">
        <is>
          <t>內部</t>
        </is>
      </c>
      <c r="E591" t="inlineStr">
        <is>
          <t>內案</t>
        </is>
      </c>
      <c r="F591" s="3" t="n">
        <v>3848</v>
      </c>
      <c r="G591" s="3" t="n">
        <v>3391</v>
      </c>
      <c r="H591" s="3" t="n">
        <v>7239</v>
      </c>
      <c r="I591" s="3" t="n">
        <v>0</v>
      </c>
      <c r="J591" s="3" t="n">
        <v>0</v>
      </c>
    </row>
    <row r="592">
      <c r="A592" t="inlineStr">
        <is>
          <t>2027/8</t>
        </is>
      </c>
      <c r="B592" t="inlineStr">
        <is>
          <t>C/9240B</t>
        </is>
      </c>
      <c r="C592" t="inlineStr">
        <is>
          <t xml:space="preserve">台中洲際BIM建築 </t>
        </is>
      </c>
      <c r="D592" t="inlineStr">
        <is>
          <t>內部</t>
        </is>
      </c>
      <c r="E592" t="inlineStr">
        <is>
          <t>內案</t>
        </is>
      </c>
      <c r="F592" s="3" t="n">
        <v>0</v>
      </c>
      <c r="G592" s="3" t="n">
        <v>0</v>
      </c>
      <c r="H592" s="3" t="n">
        <v>0</v>
      </c>
      <c r="I592" s="3" t="n">
        <v>0</v>
      </c>
      <c r="J592" s="3" t="n">
        <v>0</v>
      </c>
    </row>
    <row r="593">
      <c r="A593" t="inlineStr">
        <is>
          <t>2027/8</t>
        </is>
      </c>
      <c r="B593" t="inlineStr">
        <is>
          <t>C/9240C</t>
        </is>
      </c>
      <c r="C593" t="inlineStr">
        <is>
          <t xml:space="preserve">大直金泰BIM建築 </t>
        </is>
      </c>
      <c r="D593" t="inlineStr">
        <is>
          <t>內部</t>
        </is>
      </c>
      <c r="E593" t="inlineStr">
        <is>
          <t>內案</t>
        </is>
      </c>
      <c r="F593" s="3" t="n">
        <v>0</v>
      </c>
      <c r="G593" s="3" t="n">
        <v>0</v>
      </c>
      <c r="H593" s="3" t="n">
        <v>0</v>
      </c>
      <c r="I593" s="3" t="n">
        <v>0</v>
      </c>
      <c r="J593" s="3" t="n">
        <v>0</v>
      </c>
    </row>
    <row r="594">
      <c r="A594" t="inlineStr">
        <is>
          <t>2027/8</t>
        </is>
      </c>
      <c r="B594" t="inlineStr">
        <is>
          <t>C/9240D</t>
        </is>
      </c>
      <c r="C594" t="inlineStr">
        <is>
          <t xml:space="preserve">板橋新雅BIM建築 </t>
        </is>
      </c>
      <c r="D594" t="inlineStr">
        <is>
          <t>內部</t>
        </is>
      </c>
      <c r="E594" t="inlineStr">
        <is>
          <t>內案</t>
        </is>
      </c>
      <c r="F594" s="3" t="n">
        <v>0</v>
      </c>
      <c r="G594" s="3" t="n">
        <v>0</v>
      </c>
      <c r="H594" s="3" t="n">
        <v>0</v>
      </c>
      <c r="I594" s="3" t="n">
        <v>0</v>
      </c>
      <c r="J594" s="3" t="n">
        <v>0</v>
      </c>
    </row>
    <row r="595">
      <c r="A595" t="inlineStr">
        <is>
          <t>2027/8</t>
        </is>
      </c>
      <c r="B595" t="inlineStr">
        <is>
          <t>C/9240E</t>
        </is>
      </c>
      <c r="C595" t="inlineStr">
        <is>
          <t xml:space="preserve">板橋四維BIM建築 </t>
        </is>
      </c>
      <c r="D595" t="inlineStr">
        <is>
          <t>內部</t>
        </is>
      </c>
      <c r="E595" t="inlineStr">
        <is>
          <t>內案</t>
        </is>
      </c>
      <c r="F595" s="3" t="n">
        <v>0</v>
      </c>
      <c r="G595" s="3" t="n">
        <v>0</v>
      </c>
      <c r="H595" s="3" t="n">
        <v>0</v>
      </c>
      <c r="I595" s="3" t="n">
        <v>0</v>
      </c>
      <c r="J595" s="3" t="n">
        <v>0</v>
      </c>
    </row>
    <row r="596">
      <c r="A596" t="inlineStr">
        <is>
          <t>2027/8</t>
        </is>
      </c>
      <c r="B596" t="inlineStr">
        <is>
          <t>C/9240F</t>
        </is>
      </c>
      <c r="C596" t="inlineStr">
        <is>
          <t>台中新美齊</t>
        </is>
      </c>
      <c r="D596" t="inlineStr">
        <is>
          <t>內部</t>
        </is>
      </c>
      <c r="E596" t="inlineStr">
        <is>
          <t>內案</t>
        </is>
      </c>
      <c r="F596" s="3" t="n">
        <v>0</v>
      </c>
      <c r="G596" s="3" t="n">
        <v>0</v>
      </c>
      <c r="H596" s="3" t="n">
        <v>0</v>
      </c>
      <c r="I596" s="3" t="n">
        <v>0</v>
      </c>
      <c r="J596" s="3" t="n">
        <v>0</v>
      </c>
    </row>
    <row r="597">
      <c r="A597" t="inlineStr">
        <is>
          <t>2027/8</t>
        </is>
      </c>
      <c r="B597" t="inlineStr">
        <is>
          <t>C/9240G</t>
        </is>
      </c>
      <c r="C597" t="inlineStr">
        <is>
          <t>晨禎片片山閑</t>
        </is>
      </c>
      <c r="D597" t="inlineStr">
        <is>
          <t>外部</t>
        </is>
      </c>
      <c r="E597" t="inlineStr">
        <is>
          <t>外案</t>
        </is>
      </c>
      <c r="F597" s="3" t="n">
        <v>0</v>
      </c>
      <c r="G597" s="3" t="n">
        <v>0</v>
      </c>
      <c r="H597" s="3" t="n">
        <v>0</v>
      </c>
      <c r="I597" s="3" t="n">
        <v>0</v>
      </c>
      <c r="J597" s="3" t="n">
        <v>0</v>
      </c>
    </row>
    <row r="598">
      <c r="A598" t="inlineStr">
        <is>
          <t>2027/8</t>
        </is>
      </c>
      <c r="B598" t="inlineStr">
        <is>
          <t>C/9250A</t>
        </is>
      </c>
      <c r="C598" t="inlineStr">
        <is>
          <t>南機二區BIM服務</t>
        </is>
      </c>
      <c r="D598" t="inlineStr">
        <is>
          <t>內部</t>
        </is>
      </c>
      <c r="E598" t="inlineStr">
        <is>
          <t>內案</t>
        </is>
      </c>
      <c r="F598" s="3" t="n">
        <v>357768</v>
      </c>
      <c r="G598" s="3" t="n">
        <v>88852</v>
      </c>
      <c r="H598" s="3" t="n">
        <v>446620</v>
      </c>
      <c r="I598" s="3" t="n">
        <v>0</v>
      </c>
      <c r="J598" s="3" t="n">
        <v>495000</v>
      </c>
    </row>
    <row r="599">
      <c r="A599" t="inlineStr">
        <is>
          <t>2027/8</t>
        </is>
      </c>
      <c r="B599" t="inlineStr">
        <is>
          <t>C/9250B</t>
        </is>
      </c>
      <c r="C599" t="inlineStr">
        <is>
          <t>璞真南港總部</t>
        </is>
      </c>
      <c r="D599" t="inlineStr">
        <is>
          <t>內部</t>
        </is>
      </c>
      <c r="E599" t="inlineStr">
        <is>
          <t>內案</t>
        </is>
      </c>
      <c r="F599" s="3" t="n">
        <v>1924</v>
      </c>
      <c r="G599" s="3" t="n">
        <v>960</v>
      </c>
      <c r="H599" s="3" t="n">
        <v>2884</v>
      </c>
      <c r="I599" s="3" t="n">
        <v>0</v>
      </c>
      <c r="J599" s="3" t="n">
        <v>0</v>
      </c>
    </row>
    <row r="600">
      <c r="A600" t="inlineStr">
        <is>
          <t>2027/8</t>
        </is>
      </c>
      <c r="B600" t="inlineStr">
        <is>
          <t>C/9250C</t>
        </is>
      </c>
      <c r="C600" t="inlineStr">
        <is>
          <t>築源南港</t>
        </is>
      </c>
      <c r="D600" t="inlineStr">
        <is>
          <t>內部</t>
        </is>
      </c>
      <c r="E600" t="inlineStr">
        <is>
          <t>內案</t>
        </is>
      </c>
      <c r="F600" s="3" t="n">
        <v>121712</v>
      </c>
      <c r="G600" s="3" t="n">
        <v>56894</v>
      </c>
      <c r="H600" s="3" t="n">
        <v>178606</v>
      </c>
      <c r="I600" s="3" t="n">
        <v>0</v>
      </c>
      <c r="J600" s="3" t="n">
        <v>132500</v>
      </c>
    </row>
    <row r="601">
      <c r="A601" t="inlineStr">
        <is>
          <t>2027/8</t>
        </is>
      </c>
      <c r="B601" t="inlineStr">
        <is>
          <t>C/9250D</t>
        </is>
      </c>
      <c r="C601" t="inlineStr">
        <is>
          <t>南港三重</t>
        </is>
      </c>
      <c r="D601" t="inlineStr">
        <is>
          <t>內部</t>
        </is>
      </c>
      <c r="E601" t="inlineStr">
        <is>
          <t>內案</t>
        </is>
      </c>
      <c r="F601" s="3" t="n">
        <v>32487</v>
      </c>
      <c r="G601" s="3" t="n">
        <v>14808</v>
      </c>
      <c r="H601" s="3" t="n">
        <v>47295</v>
      </c>
      <c r="I601" s="3" t="n">
        <v>0</v>
      </c>
      <c r="J601" s="3" t="n">
        <v>0</v>
      </c>
    </row>
    <row r="602">
      <c r="A602" t="inlineStr">
        <is>
          <t>2027/8</t>
        </is>
      </c>
      <c r="B602" t="inlineStr">
        <is>
          <t>C/9260A</t>
        </is>
      </c>
      <c r="C602" t="inlineStr">
        <is>
          <t>台中楓溪</t>
        </is>
      </c>
      <c r="D602" t="inlineStr">
        <is>
          <t>內部</t>
        </is>
      </c>
      <c r="E602" t="inlineStr">
        <is>
          <t>內案</t>
        </is>
      </c>
      <c r="F602" s="3" t="n">
        <v>1154</v>
      </c>
      <c r="G602" s="3" t="n">
        <v>525</v>
      </c>
      <c r="H602" s="3" t="n">
        <v>1679</v>
      </c>
      <c r="I602" s="3" t="n">
        <v>0</v>
      </c>
      <c r="J602" s="3" t="n">
        <v>240000</v>
      </c>
    </row>
    <row r="603">
      <c r="A603" t="inlineStr">
        <is>
          <t>2027/8</t>
        </is>
      </c>
      <c r="B603" t="inlineStr">
        <is>
          <t>C/9260B</t>
        </is>
      </c>
      <c r="C603" t="inlineStr">
        <is>
          <t>樺輝永鑄</t>
        </is>
      </c>
      <c r="D603" t="inlineStr">
        <is>
          <t>內部</t>
        </is>
      </c>
      <c r="E603" t="inlineStr">
        <is>
          <t>內案</t>
        </is>
      </c>
      <c r="F603" s="3" t="n">
        <v>122096</v>
      </c>
      <c r="G603" s="3" t="n">
        <v>23804</v>
      </c>
      <c r="H603" s="3" t="n">
        <v>145900</v>
      </c>
      <c r="I603" s="3" t="n">
        <v>0</v>
      </c>
      <c r="J603" s="3" t="n">
        <v>374000</v>
      </c>
    </row>
    <row r="604">
      <c r="A604" t="inlineStr">
        <is>
          <t>2027/8</t>
        </is>
      </c>
      <c r="B604" t="inlineStr">
        <is>
          <t>C/9260C</t>
        </is>
      </c>
      <c r="C604" t="inlineStr">
        <is>
          <t>中華郵政信維</t>
        </is>
      </c>
      <c r="D604" t="inlineStr">
        <is>
          <t>內部</t>
        </is>
      </c>
      <c r="E604" t="inlineStr">
        <is>
          <t>內案</t>
        </is>
      </c>
      <c r="F604" s="3" t="n">
        <v>122866</v>
      </c>
      <c r="G604" s="3" t="n">
        <v>53076</v>
      </c>
      <c r="H604" s="3" t="n">
        <v>175942</v>
      </c>
      <c r="I604" s="3" t="n">
        <v>0</v>
      </c>
      <c r="J604" s="3" t="n">
        <v>262500</v>
      </c>
    </row>
    <row r="605">
      <c r="A605" t="inlineStr">
        <is>
          <t>2027/8</t>
        </is>
      </c>
      <c r="B605" t="inlineStr">
        <is>
          <t>C/9260D</t>
        </is>
      </c>
      <c r="C605" t="inlineStr">
        <is>
          <t>大安復興</t>
        </is>
      </c>
      <c r="D605" t="inlineStr">
        <is>
          <t>內部</t>
        </is>
      </c>
      <c r="E605" t="inlineStr">
        <is>
          <t>內案</t>
        </is>
      </c>
      <c r="F605" s="3" t="n">
        <v>0</v>
      </c>
      <c r="G605" s="3" t="n">
        <v>0</v>
      </c>
      <c r="H605" s="3" t="n">
        <v>0</v>
      </c>
      <c r="I605" s="3" t="n">
        <v>0</v>
      </c>
      <c r="J605" s="3" t="n">
        <v>85000</v>
      </c>
    </row>
    <row r="606">
      <c r="A606" t="inlineStr">
        <is>
          <t>2027/8</t>
        </is>
      </c>
      <c r="B606" t="inlineStr">
        <is>
          <t>C/9100B_26</t>
        </is>
      </c>
      <c r="C606" t="inlineStr">
        <is>
          <t>新取得BIM建築-26年</t>
        </is>
      </c>
      <c r="D606" t="inlineStr">
        <is>
          <t>內部</t>
        </is>
      </c>
      <c r="E606" t="inlineStr">
        <is>
          <t>內案</t>
        </is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</row>
    <row r="607">
      <c r="A607" t="inlineStr">
        <is>
          <t>2027/8</t>
        </is>
      </c>
      <c r="B607" t="inlineStr">
        <is>
          <t>C/9100A_27</t>
        </is>
      </c>
      <c r="C607" t="inlineStr">
        <is>
          <t>新取得BIM建築-26年</t>
        </is>
      </c>
      <c r="D607" t="inlineStr">
        <is>
          <t>內部</t>
        </is>
      </c>
      <c r="E607" t="inlineStr">
        <is>
          <t>內案</t>
        </is>
      </c>
      <c r="F607" s="3" t="n">
        <v>0</v>
      </c>
      <c r="G607" s="3" t="n">
        <v>0</v>
      </c>
      <c r="H607" s="3" t="n">
        <v>0</v>
      </c>
      <c r="I607" s="3" t="n">
        <v>0</v>
      </c>
      <c r="J607" s="3" t="n">
        <v>0</v>
      </c>
    </row>
    <row r="608">
      <c r="A608" t="inlineStr">
        <is>
          <t>2027/8</t>
        </is>
      </c>
      <c r="B608" t="inlineStr">
        <is>
          <t>C/9100B_27</t>
        </is>
      </c>
      <c r="C608" t="inlineStr">
        <is>
          <t>新取得BIM建築-27年</t>
        </is>
      </c>
      <c r="D608" t="inlineStr">
        <is>
          <t>內部</t>
        </is>
      </c>
      <c r="E608" t="inlineStr">
        <is>
          <t>內案</t>
        </is>
      </c>
      <c r="F608" s="3" t="n">
        <v>971386</v>
      </c>
      <c r="G608" s="3" t="n">
        <v>367682</v>
      </c>
      <c r="H608" s="3" t="n">
        <v>1339068</v>
      </c>
      <c r="I608" s="3" t="n">
        <v>0</v>
      </c>
      <c r="J608" s="3" t="n">
        <v>1400000</v>
      </c>
    </row>
    <row r="609">
      <c r="A609" t="inlineStr">
        <is>
          <t>2027/8</t>
        </is>
      </c>
      <c r="B609" t="inlineStr">
        <is>
          <t>C/9100C_27</t>
        </is>
      </c>
      <c r="C609" t="inlineStr">
        <is>
          <t>新取得BIM建築-28年</t>
        </is>
      </c>
      <c r="D609" t="inlineStr">
        <is>
          <t>內部</t>
        </is>
      </c>
      <c r="E609" t="inlineStr">
        <is>
          <t>內案</t>
        </is>
      </c>
      <c r="F609" s="3" t="n">
        <v>0</v>
      </c>
      <c r="G609" s="3" t="n">
        <v>0</v>
      </c>
      <c r="H609" s="3" t="n">
        <v>0</v>
      </c>
      <c r="I609" s="3" t="n">
        <v>0</v>
      </c>
      <c r="J609" s="3" t="n">
        <v>0</v>
      </c>
    </row>
    <row r="610">
      <c r="A610" t="inlineStr">
        <is>
          <t>2027/8</t>
        </is>
      </c>
      <c r="B610" t="inlineStr">
        <is>
          <t>C/9100D_27</t>
        </is>
      </c>
      <c r="C610" t="inlineStr">
        <is>
          <t>新取得BIM建築-29年</t>
        </is>
      </c>
      <c r="D610" t="inlineStr">
        <is>
          <t>內部</t>
        </is>
      </c>
      <c r="E610" t="inlineStr">
        <is>
          <t>內案</t>
        </is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</row>
    <row r="611">
      <c r="A611" t="inlineStr">
        <is>
          <t>2027/8</t>
        </is>
      </c>
      <c r="B611" t="inlineStr">
        <is>
          <t>C/9100E_27</t>
        </is>
      </c>
      <c r="C611" t="inlineStr">
        <is>
          <t>新取得BIM建築-30年</t>
        </is>
      </c>
      <c r="D611" t="inlineStr">
        <is>
          <t>內部</t>
        </is>
      </c>
      <c r="E611" t="inlineStr">
        <is>
          <t>內案</t>
        </is>
      </c>
      <c r="F611" s="3" t="n">
        <v>0</v>
      </c>
      <c r="G611" s="3" t="n">
        <v>0</v>
      </c>
      <c r="H611" s="3" t="n">
        <v>0</v>
      </c>
      <c r="I611" s="3" t="n">
        <v>0</v>
      </c>
      <c r="J611" s="3" t="n">
        <v>0</v>
      </c>
    </row>
    <row r="612">
      <c r="A612" t="inlineStr">
        <is>
          <t>2027/8</t>
        </is>
      </c>
      <c r="B612" t="inlineStr">
        <is>
          <t>C/9100F_27</t>
        </is>
      </c>
      <c r="C612" t="inlineStr">
        <is>
          <t>新取得BIM建築-31年</t>
        </is>
      </c>
      <c r="D612" t="inlineStr">
        <is>
          <t>內部</t>
        </is>
      </c>
      <c r="E612" t="inlineStr">
        <is>
          <t>內案</t>
        </is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</row>
    <row r="613">
      <c r="A613" t="inlineStr">
        <is>
          <t>2027/8</t>
        </is>
      </c>
      <c r="B613" t="inlineStr">
        <is>
          <t>C/99992</t>
        </is>
      </c>
      <c r="C613" t="inlineStr">
        <is>
          <t>雜項BIM土木機電</t>
        </is>
      </c>
      <c r="D613" t="inlineStr">
        <is>
          <t>內/無</t>
        </is>
      </c>
      <c r="E613" t="inlineStr">
        <is>
          <t>雜項</t>
        </is>
      </c>
      <c r="F613" s="3" t="n">
        <v>23824</v>
      </c>
      <c r="G613" s="3" t="n">
        <v>5676</v>
      </c>
      <c r="H613" s="3" t="n">
        <v>29500</v>
      </c>
      <c r="I613" s="3" t="n">
        <v>0</v>
      </c>
      <c r="J613" s="3" t="n">
        <v>29500</v>
      </c>
    </row>
    <row r="614">
      <c r="A614" t="inlineStr">
        <is>
          <t>2027/8</t>
        </is>
      </c>
      <c r="B614" t="inlineStr">
        <is>
          <t>C/99992-1</t>
        </is>
      </c>
      <c r="C614" t="inlineStr">
        <is>
          <t>雜項BIM土木機電(外案收入)</t>
        </is>
      </c>
      <c r="D614" t="inlineStr">
        <is>
          <t>外部</t>
        </is>
      </c>
      <c r="E614" t="inlineStr">
        <is>
          <t>外案</t>
        </is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</v>
      </c>
    </row>
    <row r="615">
      <c r="A615" t="inlineStr">
        <is>
          <t>2027/8</t>
        </is>
      </c>
      <c r="B615" t="inlineStr">
        <is>
          <t>C/99993</t>
        </is>
      </c>
      <c r="C615" t="inlineStr">
        <is>
          <t>備標BIM土木機電</t>
        </is>
      </c>
      <c r="D615" t="inlineStr">
        <is>
          <t>備標</t>
        </is>
      </c>
      <c r="E615" t="inlineStr">
        <is>
          <t>備標</t>
        </is>
      </c>
      <c r="F615" s="3" t="n">
        <v>59561</v>
      </c>
      <c r="G615" s="3" t="n">
        <v>-59561</v>
      </c>
      <c r="H615" s="3" t="n">
        <v>0</v>
      </c>
      <c r="I615" s="3" t="n">
        <v>0</v>
      </c>
      <c r="J615" s="3" t="n">
        <v>0</v>
      </c>
    </row>
    <row r="616">
      <c r="A616" t="inlineStr">
        <is>
          <t>2027/8</t>
        </is>
      </c>
      <c r="B616" t="inlineStr">
        <is>
          <t>C/9999B</t>
        </is>
      </c>
      <c r="C616" t="inlineStr">
        <is>
          <t>雜項BIM建築</t>
        </is>
      </c>
      <c r="D616" t="inlineStr">
        <is>
          <t>內/無</t>
        </is>
      </c>
      <c r="E616" t="inlineStr">
        <is>
          <t>雜項</t>
        </is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</row>
    <row r="617">
      <c r="A617" t="inlineStr">
        <is>
          <t>2027/8</t>
        </is>
      </c>
      <c r="B617" t="inlineStr">
        <is>
          <t>C/9999D</t>
        </is>
      </c>
      <c r="C617" t="inlineStr">
        <is>
          <t>備標BIM建築</t>
        </is>
      </c>
      <c r="D617" t="inlineStr">
        <is>
          <t>備標</t>
        </is>
      </c>
      <c r="E617" t="inlineStr">
        <is>
          <t>備標</t>
        </is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0</v>
      </c>
    </row>
    <row r="618">
      <c r="A618" t="inlineStr">
        <is>
          <t>2027/9</t>
        </is>
      </c>
      <c r="B618" t="inlineStr">
        <is>
          <t>C/92103</t>
        </is>
      </c>
      <c r="C618" t="inlineStr">
        <is>
          <t>CQ840 BIM</t>
        </is>
      </c>
      <c r="D618" t="inlineStr">
        <is>
          <t>內部</t>
        </is>
      </c>
      <c r="E618" t="inlineStr">
        <is>
          <t>內案</t>
        </is>
      </c>
      <c r="F618" s="3" t="n">
        <v>158431</v>
      </c>
      <c r="G618" s="3" t="n">
        <v>-26936</v>
      </c>
      <c r="H618" s="3" t="n">
        <v>131495</v>
      </c>
      <c r="I618" s="3" t="n">
        <v>26936</v>
      </c>
      <c r="J618" s="3" t="n">
        <v>0</v>
      </c>
    </row>
    <row r="619">
      <c r="A619" t="inlineStr">
        <is>
          <t>2027/9</t>
        </is>
      </c>
      <c r="B619" t="inlineStr">
        <is>
          <t>C/92202</t>
        </is>
      </c>
      <c r="C619" t="inlineStr">
        <is>
          <t>CF680C BIM</t>
        </is>
      </c>
      <c r="D619" t="inlineStr">
        <is>
          <t>內部</t>
        </is>
      </c>
      <c r="E619" t="inlineStr">
        <is>
          <t>內案</t>
        </is>
      </c>
      <c r="F619" s="3" t="n">
        <v>26133</v>
      </c>
      <c r="G619" s="3" t="n">
        <v>12567</v>
      </c>
      <c r="H619" s="3" t="n">
        <v>38700</v>
      </c>
      <c r="I619" s="3" t="n">
        <v>0</v>
      </c>
      <c r="J619" s="3" t="n">
        <v>0</v>
      </c>
    </row>
    <row r="620">
      <c r="A620" t="inlineStr">
        <is>
          <t>2027/9</t>
        </is>
      </c>
      <c r="B620" t="inlineStr">
        <is>
          <t>C/92203</t>
        </is>
      </c>
      <c r="C620" t="inlineStr">
        <is>
          <t>N－WH BIM</t>
        </is>
      </c>
      <c r="D620" t="inlineStr">
        <is>
          <t>內部</t>
        </is>
      </c>
      <c r="E620" t="inlineStr">
        <is>
          <t>內案</t>
        </is>
      </c>
      <c r="F620" s="3" t="n">
        <v>61943</v>
      </c>
      <c r="G620" s="3" t="n">
        <v>21404</v>
      </c>
      <c r="H620" s="3" t="n">
        <v>83347</v>
      </c>
      <c r="I620" s="3" t="n">
        <v>0</v>
      </c>
      <c r="J620" s="3" t="n">
        <v>75000</v>
      </c>
    </row>
    <row r="621">
      <c r="A621" t="inlineStr">
        <is>
          <t>2027/9</t>
        </is>
      </c>
      <c r="B621" t="inlineStr">
        <is>
          <t>C/92204</t>
        </is>
      </c>
      <c r="C621" t="inlineStr">
        <is>
          <t>國揚吉林機電</t>
        </is>
      </c>
      <c r="D621" t="inlineStr">
        <is>
          <t>內部</t>
        </is>
      </c>
      <c r="E621" t="inlineStr">
        <is>
          <t>內案</t>
        </is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</row>
    <row r="622">
      <c r="A622" t="inlineStr">
        <is>
          <t>2027/9</t>
        </is>
      </c>
      <c r="B622" t="inlineStr">
        <is>
          <t>C/92301</t>
        </is>
      </c>
      <c r="C622" t="inlineStr">
        <is>
          <t>CF670A BIM 土木機電</t>
        </is>
      </c>
      <c r="D622" t="inlineStr">
        <is>
          <t>內部</t>
        </is>
      </c>
      <c r="E622" t="inlineStr">
        <is>
          <t>內案</t>
        </is>
      </c>
      <c r="F622" s="3" t="n">
        <v>27324</v>
      </c>
      <c r="G622" s="3" t="n">
        <v>3138</v>
      </c>
      <c r="H622" s="3" t="n">
        <v>30462</v>
      </c>
      <c r="I622" s="3" t="n">
        <v>0</v>
      </c>
      <c r="J622" s="3" t="n">
        <v>30000</v>
      </c>
    </row>
    <row r="623">
      <c r="A623" t="inlineStr">
        <is>
          <t>2027/9</t>
        </is>
      </c>
      <c r="B623" t="inlineStr">
        <is>
          <t>C/92302</t>
        </is>
      </c>
      <c r="C623" t="inlineStr">
        <is>
          <t>富邦忠孝懷生BIM機電</t>
        </is>
      </c>
      <c r="D623" t="inlineStr">
        <is>
          <t>內部</t>
        </is>
      </c>
      <c r="E623" t="inlineStr">
        <is>
          <t>內案</t>
        </is>
      </c>
      <c r="F623" s="3" t="n">
        <v>0</v>
      </c>
      <c r="G623" s="3" t="n">
        <v>0</v>
      </c>
      <c r="H623" s="3" t="n">
        <v>0</v>
      </c>
      <c r="I623" s="3" t="n">
        <v>0</v>
      </c>
      <c r="J623" s="3" t="n">
        <v>0</v>
      </c>
    </row>
    <row r="624">
      <c r="A624" t="inlineStr">
        <is>
          <t>2027/9</t>
        </is>
      </c>
      <c r="B624" t="inlineStr">
        <is>
          <t>C/92303</t>
        </is>
      </c>
      <c r="C624" t="inlineStr">
        <is>
          <t>信義兒福BIM機電</t>
        </is>
      </c>
      <c r="D624" t="inlineStr">
        <is>
          <t>外部</t>
        </is>
      </c>
      <c r="E624" t="inlineStr">
        <is>
          <t>外案</t>
        </is>
      </c>
      <c r="F624" s="3" t="n">
        <v>39310</v>
      </c>
      <c r="G624" s="3" t="n">
        <v>9504</v>
      </c>
      <c r="H624" s="3" t="n">
        <v>48814</v>
      </c>
      <c r="I624" s="3" t="n">
        <v>0</v>
      </c>
      <c r="J624" s="3" t="n">
        <v>0</v>
      </c>
    </row>
    <row r="625">
      <c r="A625" t="inlineStr">
        <is>
          <t>2027/9</t>
        </is>
      </c>
      <c r="B625" t="inlineStr">
        <is>
          <t>C/92304</t>
        </is>
      </c>
      <c r="C625" t="inlineStr">
        <is>
          <t>捷運劍潭站TOD統包BIM機電</t>
        </is>
      </c>
      <c r="D625" t="inlineStr">
        <is>
          <t>內部</t>
        </is>
      </c>
      <c r="E625" t="inlineStr">
        <is>
          <t>內案</t>
        </is>
      </c>
      <c r="F625" s="3" t="n">
        <v>119121</v>
      </c>
      <c r="G625" s="3" t="n">
        <v>12834</v>
      </c>
      <c r="H625" s="3" t="n">
        <v>131955</v>
      </c>
      <c r="I625" s="3" t="n">
        <v>0</v>
      </c>
      <c r="J625" s="3" t="n">
        <v>160000</v>
      </c>
    </row>
    <row r="626">
      <c r="A626" t="inlineStr">
        <is>
          <t>2027/9</t>
        </is>
      </c>
      <c r="B626" t="inlineStr">
        <is>
          <t>C/92401</t>
        </is>
      </c>
      <c r="C626" t="inlineStr">
        <is>
          <t>CJ17 土木機電</t>
        </is>
      </c>
      <c r="D626" t="inlineStr">
        <is>
          <t>內部</t>
        </is>
      </c>
      <c r="E626" t="inlineStr">
        <is>
          <t>內案</t>
        </is>
      </c>
      <c r="F626" s="3" t="n">
        <v>51149</v>
      </c>
      <c r="G626" s="3" t="n">
        <v>24764</v>
      </c>
      <c r="H626" s="3" t="n">
        <v>75913</v>
      </c>
      <c r="I626" s="3" t="n">
        <v>0</v>
      </c>
      <c r="J626" s="3" t="n">
        <v>431668</v>
      </c>
    </row>
    <row r="627">
      <c r="A627" t="inlineStr">
        <is>
          <t>2027/9</t>
        </is>
      </c>
      <c r="B627" t="inlineStr">
        <is>
          <t>C/92501</t>
        </is>
      </c>
      <c r="C627" t="inlineStr">
        <is>
          <t>CF670 BIM土木機電</t>
        </is>
      </c>
      <c r="D627" t="inlineStr">
        <is>
          <t>內部</t>
        </is>
      </c>
      <c r="E627" t="inlineStr">
        <is>
          <t>內案</t>
        </is>
      </c>
      <c r="F627" s="3" t="n">
        <v>96415</v>
      </c>
      <c r="G627" s="3" t="n">
        <v>46042</v>
      </c>
      <c r="H627" s="3" t="n">
        <v>142457</v>
      </c>
      <c r="I627" s="3" t="n">
        <v>0</v>
      </c>
      <c r="J627" s="3" t="n">
        <v>230000</v>
      </c>
    </row>
    <row r="628">
      <c r="A628" t="inlineStr">
        <is>
          <t>2027/9</t>
        </is>
      </c>
      <c r="B628" t="inlineStr">
        <is>
          <t>C/92502</t>
        </is>
      </c>
      <c r="C628" t="inlineStr">
        <is>
          <t>擎邦-聯發科機電</t>
        </is>
      </c>
      <c r="D628" t="inlineStr">
        <is>
          <t>外部</t>
        </is>
      </c>
      <c r="E628" t="inlineStr">
        <is>
          <t>外案</t>
        </is>
      </c>
      <c r="F628" s="3" t="n">
        <v>119121</v>
      </c>
      <c r="G628" s="3" t="n">
        <v>92635</v>
      </c>
      <c r="H628" s="3" t="n">
        <v>211756</v>
      </c>
      <c r="I628" s="3" t="n">
        <v>0</v>
      </c>
      <c r="J628" s="3" t="n">
        <v>0</v>
      </c>
    </row>
    <row r="629">
      <c r="A629" t="inlineStr">
        <is>
          <t>2027/9</t>
        </is>
      </c>
      <c r="B629" t="inlineStr">
        <is>
          <t>C/92503</t>
        </is>
      </c>
      <c r="C629" t="inlineStr">
        <is>
          <t>CF690B BIM土木</t>
        </is>
      </c>
      <c r="D629" t="inlineStr">
        <is>
          <t>外部</t>
        </is>
      </c>
      <c r="E629" t="inlineStr">
        <is>
          <t>外案</t>
        </is>
      </c>
      <c r="F629" s="3" t="n">
        <v>39236</v>
      </c>
      <c r="G629" s="3" t="n">
        <v>16360</v>
      </c>
      <c r="H629" s="3" t="n">
        <v>55596</v>
      </c>
      <c r="I629" s="3" t="n">
        <v>0</v>
      </c>
      <c r="J629" s="3" t="n">
        <v>0</v>
      </c>
    </row>
    <row r="630">
      <c r="A630" t="inlineStr">
        <is>
          <t>2027/9</t>
        </is>
      </c>
      <c r="B630" t="inlineStr">
        <is>
          <t>C/92504</t>
        </is>
      </c>
      <c r="C630" t="inlineStr">
        <is>
          <t>擎邦-員榮總醫院BIM</t>
        </is>
      </c>
      <c r="D630" t="inlineStr">
        <is>
          <t>外部</t>
        </is>
      </c>
      <c r="E630" t="inlineStr">
        <is>
          <t>外案</t>
        </is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</row>
    <row r="631">
      <c r="A631" t="inlineStr">
        <is>
          <t>2027/9</t>
        </is>
      </c>
      <c r="B631" t="inlineStr">
        <is>
          <t>C/92601</t>
        </is>
      </c>
      <c r="C631" t="inlineStr">
        <is>
          <t>擎邦-聯發科銅鑼</t>
        </is>
      </c>
      <c r="D631" t="inlineStr">
        <is>
          <t>外部</t>
        </is>
      </c>
      <c r="E631" t="inlineStr">
        <is>
          <t>外案</t>
        </is>
      </c>
      <c r="F631" s="3" t="n">
        <v>0</v>
      </c>
      <c r="G631" s="3" t="n">
        <v>0</v>
      </c>
      <c r="H631" s="3" t="n">
        <v>0</v>
      </c>
      <c r="I631" s="3" t="n">
        <v>0</v>
      </c>
      <c r="J631" s="3" t="n">
        <v>0</v>
      </c>
    </row>
    <row r="632">
      <c r="A632" t="inlineStr">
        <is>
          <t>2027/9</t>
        </is>
      </c>
      <c r="B632" t="inlineStr">
        <is>
          <t>C/92602</t>
        </is>
      </c>
      <c r="C632" t="inlineStr">
        <is>
          <t>擎邦-CF624F機電(CF690B機電)</t>
        </is>
      </c>
      <c r="D632" t="inlineStr">
        <is>
          <t>外部</t>
        </is>
      </c>
      <c r="E632" t="inlineStr">
        <is>
          <t>外案</t>
        </is>
      </c>
      <c r="F632" s="3" t="n">
        <v>238242</v>
      </c>
      <c r="G632" s="3" t="n">
        <v>111167</v>
      </c>
      <c r="H632" s="3" t="n">
        <v>349409</v>
      </c>
      <c r="I632" s="3" t="n">
        <v>0</v>
      </c>
      <c r="J632" s="3" t="n">
        <v>0</v>
      </c>
    </row>
    <row r="633">
      <c r="A633" t="inlineStr">
        <is>
          <t>2027/9</t>
        </is>
      </c>
      <c r="B633" t="inlineStr">
        <is>
          <t>C/92603</t>
        </is>
      </c>
      <c r="C633" t="inlineStr">
        <is>
          <t>中華郵政信維機電</t>
        </is>
      </c>
      <c r="D633" t="inlineStr">
        <is>
          <t>內部</t>
        </is>
      </c>
      <c r="E633" t="inlineStr">
        <is>
          <t>內案</t>
        </is>
      </c>
      <c r="F633" s="3" t="n">
        <v>238242</v>
      </c>
      <c r="G633" s="3" t="n">
        <v>116967</v>
      </c>
      <c r="H633" s="3" t="n">
        <v>355209</v>
      </c>
      <c r="I633" s="3" t="n">
        <v>0</v>
      </c>
      <c r="J633" s="3" t="n">
        <v>392000</v>
      </c>
    </row>
    <row r="634">
      <c r="A634" t="inlineStr">
        <is>
          <t>2027/9</t>
        </is>
      </c>
      <c r="B634" t="inlineStr">
        <is>
          <t>C/91001_26</t>
        </is>
      </c>
      <c r="C634" t="inlineStr">
        <is>
          <t>新取得BIM土木機電-26年</t>
        </is>
      </c>
      <c r="D634" t="inlineStr">
        <is>
          <t>內部</t>
        </is>
      </c>
      <c r="E634" t="inlineStr">
        <is>
          <t>內案</t>
        </is>
      </c>
      <c r="F634" s="3" t="n">
        <v>0</v>
      </c>
      <c r="G634" s="3" t="n">
        <v>0</v>
      </c>
      <c r="H634" s="3" t="n">
        <v>0</v>
      </c>
      <c r="I634" s="3" t="n">
        <v>0</v>
      </c>
      <c r="J634" s="3" t="n">
        <v>0</v>
      </c>
    </row>
    <row r="635">
      <c r="A635" t="inlineStr">
        <is>
          <t>2027/9</t>
        </is>
      </c>
      <c r="B635" t="inlineStr">
        <is>
          <t>C/91000_27</t>
        </is>
      </c>
      <c r="C635" t="inlineStr">
        <is>
          <t>新取得BIM土木機電-26年</t>
        </is>
      </c>
      <c r="D635" t="inlineStr">
        <is>
          <t>內部</t>
        </is>
      </c>
      <c r="E635" t="inlineStr">
        <is>
          <t>內案</t>
        </is>
      </c>
      <c r="F635" s="3" t="n">
        <v>0</v>
      </c>
      <c r="G635" s="3" t="n">
        <v>0</v>
      </c>
      <c r="H635" s="3" t="n">
        <v>0</v>
      </c>
      <c r="I635" s="3" t="n">
        <v>0</v>
      </c>
      <c r="J635" s="3" t="n">
        <v>0</v>
      </c>
    </row>
    <row r="636">
      <c r="A636" t="inlineStr">
        <is>
          <t>2027/9</t>
        </is>
      </c>
      <c r="B636" t="inlineStr">
        <is>
          <t>C/91001_27</t>
        </is>
      </c>
      <c r="C636" t="inlineStr">
        <is>
          <t>新取得BIM土木機電-27年</t>
        </is>
      </c>
      <c r="D636" t="inlineStr">
        <is>
          <t>內部</t>
        </is>
      </c>
      <c r="E636" t="inlineStr">
        <is>
          <t>內案</t>
        </is>
      </c>
      <c r="F636" s="3" t="n">
        <v>595605</v>
      </c>
      <c r="G636" s="3" t="n">
        <v>-595605</v>
      </c>
      <c r="H636" s="3" t="n">
        <v>0</v>
      </c>
      <c r="I636" s="3" t="n">
        <v>0</v>
      </c>
      <c r="J636" s="3" t="n">
        <v>0</v>
      </c>
    </row>
    <row r="637">
      <c r="A637" t="inlineStr">
        <is>
          <t>2027/9</t>
        </is>
      </c>
      <c r="B637" t="inlineStr">
        <is>
          <t>C/91002_27</t>
        </is>
      </c>
      <c r="C637" t="inlineStr">
        <is>
          <t>新取得BIM土木機電-28年</t>
        </is>
      </c>
      <c r="D637" t="inlineStr">
        <is>
          <t>內部</t>
        </is>
      </c>
      <c r="E637" t="inlineStr">
        <is>
          <t>內案</t>
        </is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0</v>
      </c>
    </row>
    <row r="638">
      <c r="A638" t="inlineStr">
        <is>
          <t>2027/9</t>
        </is>
      </c>
      <c r="B638" t="inlineStr">
        <is>
          <t>C/91003_27</t>
        </is>
      </c>
      <c r="C638" t="inlineStr">
        <is>
          <t>新取得BIM土木機電-29年</t>
        </is>
      </c>
      <c r="D638" t="inlineStr">
        <is>
          <t>內部</t>
        </is>
      </c>
      <c r="E638" t="inlineStr">
        <is>
          <t>內案</t>
        </is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</row>
    <row r="639">
      <c r="A639" t="inlineStr">
        <is>
          <t>2027/9</t>
        </is>
      </c>
      <c r="B639" t="inlineStr">
        <is>
          <t>C/91004_27</t>
        </is>
      </c>
      <c r="C639" t="inlineStr">
        <is>
          <t>新取得BIM土木機電-30年</t>
        </is>
      </c>
      <c r="D639" t="inlineStr">
        <is>
          <t>內部</t>
        </is>
      </c>
      <c r="E639" t="inlineStr">
        <is>
          <t>內案</t>
        </is>
      </c>
      <c r="F639" s="3" t="n">
        <v>0</v>
      </c>
      <c r="G639" s="3" t="n">
        <v>0</v>
      </c>
      <c r="H639" s="3" t="n">
        <v>0</v>
      </c>
      <c r="I639" s="3" t="n">
        <v>0</v>
      </c>
      <c r="J639" s="3" t="n">
        <v>0</v>
      </c>
    </row>
    <row r="640">
      <c r="A640" t="inlineStr">
        <is>
          <t>2027/9</t>
        </is>
      </c>
      <c r="B640" t="inlineStr">
        <is>
          <t>C/91005_27</t>
        </is>
      </c>
      <c r="C640" t="inlineStr">
        <is>
          <t>新取得BIM土木機電-31年</t>
        </is>
      </c>
      <c r="D640" t="inlineStr">
        <is>
          <t>內部</t>
        </is>
      </c>
      <c r="E640" t="inlineStr">
        <is>
          <t>內案</t>
        </is>
      </c>
      <c r="F640" s="3" t="n">
        <v>0</v>
      </c>
      <c r="G640" s="3" t="n">
        <v>0</v>
      </c>
      <c r="H640" s="3" t="n">
        <v>0</v>
      </c>
      <c r="I640" s="3" t="n">
        <v>0</v>
      </c>
      <c r="J640" s="3" t="n">
        <v>0</v>
      </c>
    </row>
    <row r="641">
      <c r="A641" t="inlineStr">
        <is>
          <t>2027/9</t>
        </is>
      </c>
      <c r="B641" t="inlineStr">
        <is>
          <t>C/9210F</t>
        </is>
      </c>
      <c r="C641" t="inlineStr">
        <is>
          <t>南港機廠BIM建築</t>
        </is>
      </c>
      <c r="D641" t="inlineStr">
        <is>
          <t>外部</t>
        </is>
      </c>
      <c r="E641" t="inlineStr">
        <is>
          <t>外案</t>
        </is>
      </c>
      <c r="F641" s="3" t="n">
        <v>0</v>
      </c>
      <c r="G641" s="3" t="n">
        <v>0</v>
      </c>
      <c r="H641" s="3" t="n">
        <v>0</v>
      </c>
      <c r="I641" s="3" t="n">
        <v>0</v>
      </c>
      <c r="J641" s="3" t="n">
        <v>0</v>
      </c>
    </row>
    <row r="642">
      <c r="A642" t="inlineStr">
        <is>
          <t>2027/9</t>
        </is>
      </c>
      <c r="B642" t="inlineStr">
        <is>
          <t>C/9210G</t>
        </is>
      </c>
      <c r="C642" t="inlineStr">
        <is>
          <t>富邦忠孝懷生BIM建築</t>
        </is>
      </c>
      <c r="D642" t="inlineStr">
        <is>
          <t>內部</t>
        </is>
      </c>
      <c r="E642" t="inlineStr">
        <is>
          <t>內案</t>
        </is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0</v>
      </c>
    </row>
    <row r="643">
      <c r="A643" t="inlineStr">
        <is>
          <t>2027/9</t>
        </is>
      </c>
      <c r="B643" t="inlineStr">
        <is>
          <t>C/9220E</t>
        </is>
      </c>
      <c r="C643" t="inlineStr">
        <is>
          <t>柏鴻北士科 C/9100A-22A</t>
        </is>
      </c>
      <c r="D643" t="inlineStr">
        <is>
          <t>內部</t>
        </is>
      </c>
      <c r="E643" t="inlineStr">
        <is>
          <t>內案</t>
        </is>
      </c>
      <c r="F643" s="3" t="n">
        <v>0</v>
      </c>
      <c r="G643" s="3" t="n">
        <v>0</v>
      </c>
      <c r="H643" s="3" t="n">
        <v>0</v>
      </c>
      <c r="I643" s="3" t="n">
        <v>0</v>
      </c>
      <c r="J643" s="3" t="n">
        <v>0</v>
      </c>
    </row>
    <row r="644">
      <c r="A644" t="inlineStr">
        <is>
          <t>2027/9</t>
        </is>
      </c>
      <c r="B644" t="inlineStr">
        <is>
          <t>C/9230A</t>
        </is>
      </c>
      <c r="C644" t="inlineStr">
        <is>
          <t>信義兒福BIM建築</t>
        </is>
      </c>
      <c r="D644" t="inlineStr">
        <is>
          <t>外部</t>
        </is>
      </c>
      <c r="E644" t="inlineStr">
        <is>
          <t>外案</t>
        </is>
      </c>
      <c r="F644" s="3" t="n">
        <v>111508</v>
      </c>
      <c r="G644" s="3" t="n">
        <v>44279</v>
      </c>
      <c r="H644" s="3" t="n">
        <v>155787</v>
      </c>
      <c r="I644" s="3" t="n">
        <v>0</v>
      </c>
      <c r="J644" s="3" t="n">
        <v>0</v>
      </c>
    </row>
    <row r="645">
      <c r="A645" t="inlineStr">
        <is>
          <t>2027/9</t>
        </is>
      </c>
      <c r="B645" t="inlineStr">
        <is>
          <t>C/9230B</t>
        </is>
      </c>
      <c r="C645" t="inlineStr">
        <is>
          <t>北捷劍潭TOD</t>
        </is>
      </c>
      <c r="D645" t="inlineStr">
        <is>
          <t>內部</t>
        </is>
      </c>
      <c r="E645" t="inlineStr">
        <is>
          <t>內案</t>
        </is>
      </c>
      <c r="F645" s="3" t="n">
        <v>112278</v>
      </c>
      <c r="G645" s="3" t="n">
        <v>62166</v>
      </c>
      <c r="H645" s="3" t="n">
        <v>174444</v>
      </c>
      <c r="I645" s="3" t="n">
        <v>0</v>
      </c>
      <c r="J645" s="3" t="n">
        <v>150000</v>
      </c>
    </row>
    <row r="646">
      <c r="A646" t="inlineStr">
        <is>
          <t>2027/9</t>
        </is>
      </c>
      <c r="B646" t="inlineStr">
        <is>
          <t>C/9230C</t>
        </is>
      </c>
      <c r="C646" t="inlineStr">
        <is>
          <t>慶城福華-23年</t>
        </is>
      </c>
      <c r="D646" t="inlineStr">
        <is>
          <t>內部</t>
        </is>
      </c>
      <c r="E646" t="inlineStr">
        <is>
          <t>內案</t>
        </is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0</v>
      </c>
    </row>
    <row r="647">
      <c r="A647" t="inlineStr">
        <is>
          <t>2027/9</t>
        </is>
      </c>
      <c r="B647" t="inlineStr">
        <is>
          <t>C/9240A</t>
        </is>
      </c>
      <c r="C647" t="inlineStr">
        <is>
          <t>南港國際一</t>
        </is>
      </c>
      <c r="D647" t="inlineStr">
        <is>
          <t>內部</t>
        </is>
      </c>
      <c r="E647" t="inlineStr">
        <is>
          <t>內案</t>
        </is>
      </c>
      <c r="F647" s="3" t="n">
        <v>3848</v>
      </c>
      <c r="G647" s="3" t="n">
        <v>3390</v>
      </c>
      <c r="H647" s="3" t="n">
        <v>7238</v>
      </c>
      <c r="I647" s="3" t="n">
        <v>0</v>
      </c>
      <c r="J647" s="3" t="n">
        <v>0</v>
      </c>
    </row>
    <row r="648">
      <c r="A648" t="inlineStr">
        <is>
          <t>2027/9</t>
        </is>
      </c>
      <c r="B648" t="inlineStr">
        <is>
          <t>C/9240B</t>
        </is>
      </c>
      <c r="C648" t="inlineStr">
        <is>
          <t xml:space="preserve">台中洲際BIM建築 </t>
        </is>
      </c>
      <c r="D648" t="inlineStr">
        <is>
          <t>內部</t>
        </is>
      </c>
      <c r="E648" t="inlineStr">
        <is>
          <t>內案</t>
        </is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</row>
    <row r="649">
      <c r="A649" t="inlineStr">
        <is>
          <t>2027/9</t>
        </is>
      </c>
      <c r="B649" t="inlineStr">
        <is>
          <t>C/9240C</t>
        </is>
      </c>
      <c r="C649" t="inlineStr">
        <is>
          <t xml:space="preserve">大直金泰BIM建築 </t>
        </is>
      </c>
      <c r="D649" t="inlineStr">
        <is>
          <t>內部</t>
        </is>
      </c>
      <c r="E649" t="inlineStr">
        <is>
          <t>內案</t>
        </is>
      </c>
      <c r="F649" s="3" t="n">
        <v>0</v>
      </c>
      <c r="G649" s="3" t="n">
        <v>0</v>
      </c>
      <c r="H649" s="3" t="n">
        <v>0</v>
      </c>
      <c r="I649" s="3" t="n">
        <v>0</v>
      </c>
      <c r="J649" s="3" t="n">
        <v>0</v>
      </c>
    </row>
    <row r="650">
      <c r="A650" t="inlineStr">
        <is>
          <t>2027/9</t>
        </is>
      </c>
      <c r="B650" t="inlineStr">
        <is>
          <t>C/9240D</t>
        </is>
      </c>
      <c r="C650" t="inlineStr">
        <is>
          <t xml:space="preserve">板橋新雅BIM建築 </t>
        </is>
      </c>
      <c r="D650" t="inlineStr">
        <is>
          <t>內部</t>
        </is>
      </c>
      <c r="E650" t="inlineStr">
        <is>
          <t>內案</t>
        </is>
      </c>
      <c r="F650" s="3" t="n">
        <v>0</v>
      </c>
      <c r="G650" s="3" t="n">
        <v>0</v>
      </c>
      <c r="H650" s="3" t="n">
        <v>0</v>
      </c>
      <c r="I650" s="3" t="n">
        <v>0</v>
      </c>
      <c r="J650" s="3" t="n">
        <v>0</v>
      </c>
    </row>
    <row r="651">
      <c r="A651" t="inlineStr">
        <is>
          <t>2027/9</t>
        </is>
      </c>
      <c r="B651" t="inlineStr">
        <is>
          <t>C/9240E</t>
        </is>
      </c>
      <c r="C651" t="inlineStr">
        <is>
          <t xml:space="preserve">板橋四維BIM建築 </t>
        </is>
      </c>
      <c r="D651" t="inlineStr">
        <is>
          <t>內部</t>
        </is>
      </c>
      <c r="E651" t="inlineStr">
        <is>
          <t>內案</t>
        </is>
      </c>
      <c r="F651" s="3" t="n">
        <v>0</v>
      </c>
      <c r="G651" s="3" t="n">
        <v>0</v>
      </c>
      <c r="H651" s="3" t="n">
        <v>0</v>
      </c>
      <c r="I651" s="3" t="n">
        <v>0</v>
      </c>
      <c r="J651" s="3" t="n">
        <v>0</v>
      </c>
    </row>
    <row r="652">
      <c r="A652" t="inlineStr">
        <is>
          <t>2027/9</t>
        </is>
      </c>
      <c r="B652" t="inlineStr">
        <is>
          <t>C/9240F</t>
        </is>
      </c>
      <c r="C652" t="inlineStr">
        <is>
          <t>台中新美齊</t>
        </is>
      </c>
      <c r="D652" t="inlineStr">
        <is>
          <t>內部</t>
        </is>
      </c>
      <c r="E652" t="inlineStr">
        <is>
          <t>內案</t>
        </is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0</v>
      </c>
    </row>
    <row r="653">
      <c r="A653" t="inlineStr">
        <is>
          <t>2027/9</t>
        </is>
      </c>
      <c r="B653" t="inlineStr">
        <is>
          <t>C/9240G</t>
        </is>
      </c>
      <c r="C653" t="inlineStr">
        <is>
          <t>晨禎片片山閑</t>
        </is>
      </c>
      <c r="D653" t="inlineStr">
        <is>
          <t>外部</t>
        </is>
      </c>
      <c r="E653" t="inlineStr">
        <is>
          <t>外案</t>
        </is>
      </c>
      <c r="F653" s="3" t="n">
        <v>0</v>
      </c>
      <c r="G653" s="3" t="n">
        <v>0</v>
      </c>
      <c r="H653" s="3" t="n">
        <v>0</v>
      </c>
      <c r="I653" s="3" t="n">
        <v>0</v>
      </c>
      <c r="J653" s="3" t="n">
        <v>0</v>
      </c>
    </row>
    <row r="654">
      <c r="A654" t="inlineStr">
        <is>
          <t>2027/9</t>
        </is>
      </c>
      <c r="B654" t="inlineStr">
        <is>
          <t>C/9250A</t>
        </is>
      </c>
      <c r="C654" t="inlineStr">
        <is>
          <t>南機二區BIM服務</t>
        </is>
      </c>
      <c r="D654" t="inlineStr">
        <is>
          <t>內部</t>
        </is>
      </c>
      <c r="E654" t="inlineStr">
        <is>
          <t>內案</t>
        </is>
      </c>
      <c r="F654" s="3" t="n">
        <v>307297</v>
      </c>
      <c r="G654" s="3" t="n">
        <v>76317</v>
      </c>
      <c r="H654" s="3" t="n">
        <v>383614</v>
      </c>
      <c r="I654" s="3" t="n">
        <v>0</v>
      </c>
      <c r="J654" s="3" t="n">
        <v>495000</v>
      </c>
    </row>
    <row r="655">
      <c r="A655" t="inlineStr">
        <is>
          <t>2027/9</t>
        </is>
      </c>
      <c r="B655" t="inlineStr">
        <is>
          <t>C/9250B</t>
        </is>
      </c>
      <c r="C655" t="inlineStr">
        <is>
          <t>璞真南港總部</t>
        </is>
      </c>
      <c r="D655" t="inlineStr">
        <is>
          <t>內部</t>
        </is>
      </c>
      <c r="E655" t="inlineStr">
        <is>
          <t>內案</t>
        </is>
      </c>
      <c r="F655" s="3" t="n">
        <v>1924</v>
      </c>
      <c r="G655" s="3" t="n">
        <v>959</v>
      </c>
      <c r="H655" s="3" t="n">
        <v>2883</v>
      </c>
      <c r="I655" s="3" t="n">
        <v>0</v>
      </c>
      <c r="J655" s="3" t="n">
        <v>0</v>
      </c>
    </row>
    <row r="656">
      <c r="A656" t="inlineStr">
        <is>
          <t>2027/9</t>
        </is>
      </c>
      <c r="B656" t="inlineStr">
        <is>
          <t>C/9250C</t>
        </is>
      </c>
      <c r="C656" t="inlineStr">
        <is>
          <t>築源南港</t>
        </is>
      </c>
      <c r="D656" t="inlineStr">
        <is>
          <t>內部</t>
        </is>
      </c>
      <c r="E656" t="inlineStr">
        <is>
          <t>內案</t>
        </is>
      </c>
      <c r="F656" s="3" t="n">
        <v>61901</v>
      </c>
      <c r="G656" s="3" t="n">
        <v>28935</v>
      </c>
      <c r="H656" s="3" t="n">
        <v>90836</v>
      </c>
      <c r="I656" s="3" t="n">
        <v>0</v>
      </c>
      <c r="J656" s="3" t="n">
        <v>0</v>
      </c>
    </row>
    <row r="657">
      <c r="A657" t="inlineStr">
        <is>
          <t>2027/9</t>
        </is>
      </c>
      <c r="B657" t="inlineStr">
        <is>
          <t>C/9250D</t>
        </is>
      </c>
      <c r="C657" t="inlineStr">
        <is>
          <t>南港三重</t>
        </is>
      </c>
      <c r="D657" t="inlineStr">
        <is>
          <t>內部</t>
        </is>
      </c>
      <c r="E657" t="inlineStr">
        <is>
          <t>內案</t>
        </is>
      </c>
      <c r="F657" s="3" t="n">
        <v>29534</v>
      </c>
      <c r="G657" s="3" t="n">
        <v>13461</v>
      </c>
      <c r="H657" s="3" t="n">
        <v>42995</v>
      </c>
      <c r="I657" s="3" t="n">
        <v>0</v>
      </c>
      <c r="J657" s="3" t="n">
        <v>0</v>
      </c>
    </row>
    <row r="658">
      <c r="A658" t="inlineStr">
        <is>
          <t>2027/9</t>
        </is>
      </c>
      <c r="B658" t="inlineStr">
        <is>
          <t>C/9260A</t>
        </is>
      </c>
      <c r="C658" t="inlineStr">
        <is>
          <t>台中楓溪</t>
        </is>
      </c>
      <c r="D658" t="inlineStr">
        <is>
          <t>內部</t>
        </is>
      </c>
      <c r="E658" t="inlineStr">
        <is>
          <t>內案</t>
        </is>
      </c>
      <c r="F658" s="3" t="n">
        <v>1154</v>
      </c>
      <c r="G658" s="3" t="n">
        <v>526</v>
      </c>
      <c r="H658" s="3" t="n">
        <v>1680</v>
      </c>
      <c r="I658" s="3" t="n">
        <v>0</v>
      </c>
      <c r="J658" s="3" t="n">
        <v>160000</v>
      </c>
    </row>
    <row r="659">
      <c r="A659" t="inlineStr">
        <is>
          <t>2027/9</t>
        </is>
      </c>
      <c r="B659" t="inlineStr">
        <is>
          <t>C/9260B</t>
        </is>
      </c>
      <c r="C659" t="inlineStr">
        <is>
          <t>樺輝永鑄</t>
        </is>
      </c>
      <c r="D659" t="inlineStr">
        <is>
          <t>內部</t>
        </is>
      </c>
      <c r="E659" t="inlineStr">
        <is>
          <t>內案</t>
        </is>
      </c>
      <c r="F659" s="3" t="n">
        <v>111508</v>
      </c>
      <c r="G659" s="3" t="n">
        <v>21740</v>
      </c>
      <c r="H659" s="3" t="n">
        <v>133248</v>
      </c>
      <c r="I659" s="3" t="n">
        <v>0</v>
      </c>
      <c r="J659" s="3" t="n">
        <v>320000</v>
      </c>
    </row>
    <row r="660">
      <c r="A660" t="inlineStr">
        <is>
          <t>2027/9</t>
        </is>
      </c>
      <c r="B660" t="inlineStr">
        <is>
          <t>C/9260C</t>
        </is>
      </c>
      <c r="C660" t="inlineStr">
        <is>
          <t>中華郵政信維</t>
        </is>
      </c>
      <c r="D660" t="inlineStr">
        <is>
          <t>內部</t>
        </is>
      </c>
      <c r="E660" t="inlineStr">
        <is>
          <t>內案</t>
        </is>
      </c>
      <c r="F660" s="3" t="n">
        <v>112278</v>
      </c>
      <c r="G660" s="3" t="n">
        <v>48503</v>
      </c>
      <c r="H660" s="3" t="n">
        <v>160781</v>
      </c>
      <c r="I660" s="3" t="n">
        <v>0</v>
      </c>
      <c r="J660" s="3" t="n">
        <v>262500</v>
      </c>
    </row>
    <row r="661">
      <c r="A661" t="inlineStr">
        <is>
          <t>2027/9</t>
        </is>
      </c>
      <c r="B661" t="inlineStr">
        <is>
          <t>C/9260D</t>
        </is>
      </c>
      <c r="C661" t="inlineStr">
        <is>
          <t>大安復興</t>
        </is>
      </c>
      <c r="D661" t="inlineStr">
        <is>
          <t>內部</t>
        </is>
      </c>
      <c r="E661" t="inlineStr">
        <is>
          <t>內案</t>
        </is>
      </c>
      <c r="F661" s="3" t="n">
        <v>0</v>
      </c>
      <c r="G661" s="3" t="n">
        <v>0</v>
      </c>
      <c r="H661" s="3" t="n">
        <v>0</v>
      </c>
      <c r="I661" s="3" t="n">
        <v>0</v>
      </c>
      <c r="J661" s="3" t="n">
        <v>115000</v>
      </c>
    </row>
    <row r="662">
      <c r="A662" t="inlineStr">
        <is>
          <t>2027/9</t>
        </is>
      </c>
      <c r="B662" t="inlineStr">
        <is>
          <t>C/9100B_26</t>
        </is>
      </c>
      <c r="C662" t="inlineStr">
        <is>
          <t>新取得BIM建築-26年</t>
        </is>
      </c>
      <c r="D662" t="inlineStr">
        <is>
          <t>內部</t>
        </is>
      </c>
      <c r="E662" t="inlineStr">
        <is>
          <t>內案</t>
        </is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</row>
    <row r="663">
      <c r="A663" t="inlineStr">
        <is>
          <t>2027/9</t>
        </is>
      </c>
      <c r="B663" t="inlineStr">
        <is>
          <t>C/9100A_27</t>
        </is>
      </c>
      <c r="C663" t="inlineStr">
        <is>
          <t>新取得BIM建築-26年</t>
        </is>
      </c>
      <c r="D663" t="inlineStr">
        <is>
          <t>內部</t>
        </is>
      </c>
      <c r="E663" t="inlineStr">
        <is>
          <t>內案</t>
        </is>
      </c>
      <c r="F663" s="3" t="n">
        <v>0</v>
      </c>
      <c r="G663" s="3" t="n">
        <v>0</v>
      </c>
      <c r="H663" s="3" t="n">
        <v>0</v>
      </c>
      <c r="I663" s="3" t="n">
        <v>0</v>
      </c>
      <c r="J663" s="3" t="n">
        <v>0</v>
      </c>
    </row>
    <row r="664">
      <c r="A664" t="inlineStr">
        <is>
          <t>2027/9</t>
        </is>
      </c>
      <c r="B664" t="inlineStr">
        <is>
          <t>C/9100B_27</t>
        </is>
      </c>
      <c r="C664" t="inlineStr">
        <is>
          <t>新取得BIM建築-27年</t>
        </is>
      </c>
      <c r="D664" t="inlineStr">
        <is>
          <t>內部</t>
        </is>
      </c>
      <c r="E664" t="inlineStr">
        <is>
          <t>內案</t>
        </is>
      </c>
      <c r="F664" s="3" t="n">
        <v>997029</v>
      </c>
      <c r="G664" s="3" t="n">
        <v>377388</v>
      </c>
      <c r="H664" s="3" t="n">
        <v>1374417</v>
      </c>
      <c r="I664" s="3" t="n">
        <v>0</v>
      </c>
      <c r="J664" s="3" t="n">
        <v>1575000</v>
      </c>
    </row>
    <row r="665">
      <c r="A665" t="inlineStr">
        <is>
          <t>2027/9</t>
        </is>
      </c>
      <c r="B665" t="inlineStr">
        <is>
          <t>C/9100C_27</t>
        </is>
      </c>
      <c r="C665" t="inlineStr">
        <is>
          <t>新取得BIM建築-28年</t>
        </is>
      </c>
      <c r="D665" t="inlineStr">
        <is>
          <t>內部</t>
        </is>
      </c>
      <c r="E665" t="inlineStr">
        <is>
          <t>內案</t>
        </is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</row>
    <row r="666">
      <c r="A666" t="inlineStr">
        <is>
          <t>2027/9</t>
        </is>
      </c>
      <c r="B666" t="inlineStr">
        <is>
          <t>C/9100D_27</t>
        </is>
      </c>
      <c r="C666" t="inlineStr">
        <is>
          <t>新取得BIM建築-29年</t>
        </is>
      </c>
      <c r="D666" t="inlineStr">
        <is>
          <t>內部</t>
        </is>
      </c>
      <c r="E666" t="inlineStr">
        <is>
          <t>內案</t>
        </is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</row>
    <row r="667">
      <c r="A667" t="inlineStr">
        <is>
          <t>2027/9</t>
        </is>
      </c>
      <c r="B667" t="inlineStr">
        <is>
          <t>C/9100E_27</t>
        </is>
      </c>
      <c r="C667" t="inlineStr">
        <is>
          <t>新取得BIM建築-30年</t>
        </is>
      </c>
      <c r="D667" t="inlineStr">
        <is>
          <t>內部</t>
        </is>
      </c>
      <c r="E667" t="inlineStr">
        <is>
          <t>內案</t>
        </is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0</v>
      </c>
    </row>
    <row r="668">
      <c r="A668" t="inlineStr">
        <is>
          <t>2027/9</t>
        </is>
      </c>
      <c r="B668" t="inlineStr">
        <is>
          <t>C/9100F_27</t>
        </is>
      </c>
      <c r="C668" t="inlineStr">
        <is>
          <t>新取得BIM建築-31年</t>
        </is>
      </c>
      <c r="D668" t="inlineStr">
        <is>
          <t>內部</t>
        </is>
      </c>
      <c r="E668" t="inlineStr">
        <is>
          <t>內案</t>
        </is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</row>
    <row r="669">
      <c r="A669" t="inlineStr">
        <is>
          <t>2027/9</t>
        </is>
      </c>
      <c r="B669" t="inlineStr">
        <is>
          <t>C/99992</t>
        </is>
      </c>
      <c r="C669" t="inlineStr">
        <is>
          <t>雜項BIM土木機電</t>
        </is>
      </c>
      <c r="D669" t="inlineStr">
        <is>
          <t>內/無</t>
        </is>
      </c>
      <c r="E669" t="inlineStr">
        <is>
          <t>雜項</t>
        </is>
      </c>
      <c r="F669" s="3" t="n">
        <v>23824</v>
      </c>
      <c r="G669" s="3" t="n">
        <v>5676</v>
      </c>
      <c r="H669" s="3" t="n">
        <v>29500</v>
      </c>
      <c r="I669" s="3" t="n">
        <v>0</v>
      </c>
      <c r="J669" s="3" t="n">
        <v>29500</v>
      </c>
    </row>
    <row r="670">
      <c r="A670" t="inlineStr">
        <is>
          <t>2027/9</t>
        </is>
      </c>
      <c r="B670" t="inlineStr">
        <is>
          <t>C/99992-1</t>
        </is>
      </c>
      <c r="C670" t="inlineStr">
        <is>
          <t>雜項BIM土木機電(外案收入)</t>
        </is>
      </c>
      <c r="D670" t="inlineStr">
        <is>
          <t>外部</t>
        </is>
      </c>
      <c r="E670" t="inlineStr">
        <is>
          <t>外案</t>
        </is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</row>
    <row r="671">
      <c r="A671" t="inlineStr">
        <is>
          <t>2027/9</t>
        </is>
      </c>
      <c r="B671" t="inlineStr">
        <is>
          <t>C/99993</t>
        </is>
      </c>
      <c r="C671" t="inlineStr">
        <is>
          <t>備標BIM土木機電</t>
        </is>
      </c>
      <c r="D671" t="inlineStr">
        <is>
          <t>備標</t>
        </is>
      </c>
      <c r="E671" t="inlineStr">
        <is>
          <t>備標</t>
        </is>
      </c>
      <c r="F671" s="3" t="n">
        <v>59561</v>
      </c>
      <c r="G671" s="3" t="n">
        <v>-59561</v>
      </c>
      <c r="H671" s="3" t="n">
        <v>0</v>
      </c>
      <c r="I671" s="3" t="n">
        <v>0</v>
      </c>
      <c r="J671" s="3" t="n">
        <v>0</v>
      </c>
    </row>
    <row r="672">
      <c r="A672" t="inlineStr">
        <is>
          <t>2027/9</t>
        </is>
      </c>
      <c r="B672" t="inlineStr">
        <is>
          <t>C/9999B</t>
        </is>
      </c>
      <c r="C672" t="inlineStr">
        <is>
          <t>雜項BIM建築</t>
        </is>
      </c>
      <c r="D672" t="inlineStr">
        <is>
          <t>內/無</t>
        </is>
      </c>
      <c r="E672" t="inlineStr">
        <is>
          <t>雜項</t>
        </is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0</v>
      </c>
    </row>
    <row r="673">
      <c r="A673" t="inlineStr">
        <is>
          <t>2027/9</t>
        </is>
      </c>
      <c r="B673" t="inlineStr">
        <is>
          <t>C/9999D</t>
        </is>
      </c>
      <c r="C673" t="inlineStr">
        <is>
          <t>備標BIM建築</t>
        </is>
      </c>
      <c r="D673" t="inlineStr">
        <is>
          <t>備標</t>
        </is>
      </c>
      <c r="E673" t="inlineStr">
        <is>
          <t>備標</t>
        </is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</row>
    <row r="674">
      <c r="A674" t="inlineStr">
        <is>
          <t>2027/10</t>
        </is>
      </c>
      <c r="B674" t="inlineStr">
        <is>
          <t>C/92103</t>
        </is>
      </c>
      <c r="C674" t="inlineStr">
        <is>
          <t>CQ840 BIM</t>
        </is>
      </c>
      <c r="D674" t="inlineStr">
        <is>
          <t>內部</t>
        </is>
      </c>
      <c r="E674" t="inlineStr">
        <is>
          <t>內案</t>
        </is>
      </c>
      <c r="F674" s="3" t="n">
        <v>158431</v>
      </c>
      <c r="G674" s="3" t="n">
        <v>-26936</v>
      </c>
      <c r="H674" s="3" t="n">
        <v>131495</v>
      </c>
      <c r="I674" s="3" t="n">
        <v>26936</v>
      </c>
      <c r="J674" s="3" t="n">
        <v>0</v>
      </c>
    </row>
    <row r="675">
      <c r="A675" t="inlineStr">
        <is>
          <t>2027/10</t>
        </is>
      </c>
      <c r="B675" t="inlineStr">
        <is>
          <t>C/92202</t>
        </is>
      </c>
      <c r="C675" t="inlineStr">
        <is>
          <t>CF680C BIM</t>
        </is>
      </c>
      <c r="D675" t="inlineStr">
        <is>
          <t>內部</t>
        </is>
      </c>
      <c r="E675" t="inlineStr">
        <is>
          <t>內案</t>
        </is>
      </c>
      <c r="F675" s="3" t="n">
        <v>26133</v>
      </c>
      <c r="G675" s="3" t="n">
        <v>12567</v>
      </c>
      <c r="H675" s="3" t="n">
        <v>38700</v>
      </c>
      <c r="I675" s="3" t="n">
        <v>0</v>
      </c>
      <c r="J675" s="3" t="n">
        <v>0</v>
      </c>
    </row>
    <row r="676">
      <c r="A676" t="inlineStr">
        <is>
          <t>2027/10</t>
        </is>
      </c>
      <c r="B676" t="inlineStr">
        <is>
          <t>C/92203</t>
        </is>
      </c>
      <c r="C676" t="inlineStr">
        <is>
          <t>N－WH BIM</t>
        </is>
      </c>
      <c r="D676" t="inlineStr">
        <is>
          <t>內部</t>
        </is>
      </c>
      <c r="E676" t="inlineStr">
        <is>
          <t>內案</t>
        </is>
      </c>
      <c r="F676" s="3" t="n">
        <v>26206</v>
      </c>
      <c r="G676" s="3" t="n">
        <v>9056</v>
      </c>
      <c r="H676" s="3" t="n">
        <v>35262</v>
      </c>
      <c r="I676" s="3" t="n">
        <v>0</v>
      </c>
      <c r="J676" s="3" t="n">
        <v>75000</v>
      </c>
    </row>
    <row r="677">
      <c r="A677" t="inlineStr">
        <is>
          <t>2027/10</t>
        </is>
      </c>
      <c r="B677" t="inlineStr">
        <is>
          <t>C/92204</t>
        </is>
      </c>
      <c r="C677" t="inlineStr">
        <is>
          <t>國揚吉林機電</t>
        </is>
      </c>
      <c r="D677" t="inlineStr">
        <is>
          <t>內部</t>
        </is>
      </c>
      <c r="E677" t="inlineStr">
        <is>
          <t>內案</t>
        </is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</row>
    <row r="678">
      <c r="A678" t="inlineStr">
        <is>
          <t>2027/10</t>
        </is>
      </c>
      <c r="B678" t="inlineStr">
        <is>
          <t>C/92301</t>
        </is>
      </c>
      <c r="C678" t="inlineStr">
        <is>
          <t>CF670A BIM 土木機電</t>
        </is>
      </c>
      <c r="D678" t="inlineStr">
        <is>
          <t>內部</t>
        </is>
      </c>
      <c r="E678" t="inlineStr">
        <is>
          <t>內案</t>
        </is>
      </c>
      <c r="F678" s="3" t="n">
        <v>29706</v>
      </c>
      <c r="G678" s="3" t="n">
        <v>3412</v>
      </c>
      <c r="H678" s="3" t="n">
        <v>33118</v>
      </c>
      <c r="I678" s="3" t="n">
        <v>0</v>
      </c>
      <c r="J678" s="3" t="n">
        <v>30000</v>
      </c>
    </row>
    <row r="679">
      <c r="A679" t="inlineStr">
        <is>
          <t>2027/10</t>
        </is>
      </c>
      <c r="B679" t="inlineStr">
        <is>
          <t>C/92302</t>
        </is>
      </c>
      <c r="C679" t="inlineStr">
        <is>
          <t>富邦忠孝懷生BIM機電</t>
        </is>
      </c>
      <c r="D679" t="inlineStr">
        <is>
          <t>內部</t>
        </is>
      </c>
      <c r="E679" t="inlineStr">
        <is>
          <t>內案</t>
        </is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0</v>
      </c>
    </row>
    <row r="680">
      <c r="A680" t="inlineStr">
        <is>
          <t>2027/10</t>
        </is>
      </c>
      <c r="B680" t="inlineStr">
        <is>
          <t>C/92303</t>
        </is>
      </c>
      <c r="C680" t="inlineStr">
        <is>
          <t>信義兒福BIM機電</t>
        </is>
      </c>
      <c r="D680" t="inlineStr">
        <is>
          <t>外部</t>
        </is>
      </c>
      <c r="E680" t="inlineStr">
        <is>
          <t>外案</t>
        </is>
      </c>
      <c r="F680" s="3" t="n">
        <v>39310</v>
      </c>
      <c r="G680" s="3" t="n">
        <v>9504</v>
      </c>
      <c r="H680" s="3" t="n">
        <v>48814</v>
      </c>
      <c r="I680" s="3" t="n">
        <v>0</v>
      </c>
      <c r="J680" s="3" t="n">
        <v>0</v>
      </c>
    </row>
    <row r="681">
      <c r="A681" t="inlineStr">
        <is>
          <t>2027/10</t>
        </is>
      </c>
      <c r="B681" t="inlineStr">
        <is>
          <t>C/92304</t>
        </is>
      </c>
      <c r="C681" t="inlineStr">
        <is>
          <t>捷運劍潭站TOD統包BIM機電</t>
        </is>
      </c>
      <c r="D681" t="inlineStr">
        <is>
          <t>內部</t>
        </is>
      </c>
      <c r="E681" t="inlineStr">
        <is>
          <t>內案</t>
        </is>
      </c>
      <c r="F681" s="3" t="n">
        <v>119121</v>
      </c>
      <c r="G681" s="3" t="n">
        <v>12834</v>
      </c>
      <c r="H681" s="3" t="n">
        <v>131955</v>
      </c>
      <c r="I681" s="3" t="n">
        <v>0</v>
      </c>
      <c r="J681" s="3" t="n">
        <v>160000</v>
      </c>
    </row>
    <row r="682">
      <c r="A682" t="inlineStr">
        <is>
          <t>2027/10</t>
        </is>
      </c>
      <c r="B682" t="inlineStr">
        <is>
          <t>C/92401</t>
        </is>
      </c>
      <c r="C682" t="inlineStr">
        <is>
          <t>CJ17 土木機電</t>
        </is>
      </c>
      <c r="D682" t="inlineStr">
        <is>
          <t>內部</t>
        </is>
      </c>
      <c r="E682" t="inlineStr">
        <is>
          <t>內案</t>
        </is>
      </c>
      <c r="F682" s="3" t="n">
        <v>51149</v>
      </c>
      <c r="G682" s="3" t="n">
        <v>24763</v>
      </c>
      <c r="H682" s="3" t="n">
        <v>75912</v>
      </c>
      <c r="I682" s="3" t="n">
        <v>0</v>
      </c>
      <c r="J682" s="3" t="n">
        <v>431668</v>
      </c>
    </row>
    <row r="683">
      <c r="A683" t="inlineStr">
        <is>
          <t>2027/10</t>
        </is>
      </c>
      <c r="B683" t="inlineStr">
        <is>
          <t>C/92501</t>
        </is>
      </c>
      <c r="C683" t="inlineStr">
        <is>
          <t>CF670 BIM土木機電</t>
        </is>
      </c>
      <c r="D683" t="inlineStr">
        <is>
          <t>內部</t>
        </is>
      </c>
      <c r="E683" t="inlineStr">
        <is>
          <t>內案</t>
        </is>
      </c>
      <c r="F683" s="3" t="n">
        <v>82119</v>
      </c>
      <c r="G683" s="3" t="n">
        <v>39215</v>
      </c>
      <c r="H683" s="3" t="n">
        <v>121334</v>
      </c>
      <c r="I683" s="3" t="n">
        <v>0</v>
      </c>
      <c r="J683" s="3" t="n">
        <v>60000</v>
      </c>
    </row>
    <row r="684">
      <c r="A684" t="inlineStr">
        <is>
          <t>2027/10</t>
        </is>
      </c>
      <c r="B684" t="inlineStr">
        <is>
          <t>C/92502</t>
        </is>
      </c>
      <c r="C684" t="inlineStr">
        <is>
          <t>擎邦-聯發科機電</t>
        </is>
      </c>
      <c r="D684" t="inlineStr">
        <is>
          <t>外部</t>
        </is>
      </c>
      <c r="E684" t="inlineStr">
        <is>
          <t>外案</t>
        </is>
      </c>
      <c r="F684" s="3" t="n">
        <v>119121</v>
      </c>
      <c r="G684" s="3" t="n">
        <v>92634</v>
      </c>
      <c r="H684" s="3" t="n">
        <v>211755</v>
      </c>
      <c r="I684" s="3" t="n">
        <v>0</v>
      </c>
      <c r="J684" s="3" t="n">
        <v>0</v>
      </c>
    </row>
    <row r="685">
      <c r="A685" t="inlineStr">
        <is>
          <t>2027/10</t>
        </is>
      </c>
      <c r="B685" t="inlineStr">
        <is>
          <t>C/92503</t>
        </is>
      </c>
      <c r="C685" t="inlineStr">
        <is>
          <t>CF690B BIM土木</t>
        </is>
      </c>
      <c r="D685" t="inlineStr">
        <is>
          <t>外部</t>
        </is>
      </c>
      <c r="E685" t="inlineStr">
        <is>
          <t>外案</t>
        </is>
      </c>
      <c r="F685" s="3" t="n">
        <v>39236</v>
      </c>
      <c r="G685" s="3" t="n">
        <v>16361</v>
      </c>
      <c r="H685" s="3" t="n">
        <v>55597</v>
      </c>
      <c r="I685" s="3" t="n">
        <v>0</v>
      </c>
      <c r="J685" s="3" t="n">
        <v>0</v>
      </c>
    </row>
    <row r="686">
      <c r="A686" t="inlineStr">
        <is>
          <t>2027/10</t>
        </is>
      </c>
      <c r="B686" t="inlineStr">
        <is>
          <t>C/92504</t>
        </is>
      </c>
      <c r="C686" t="inlineStr">
        <is>
          <t>擎邦-員榮總醫院BIM</t>
        </is>
      </c>
      <c r="D686" t="inlineStr">
        <is>
          <t>外部</t>
        </is>
      </c>
      <c r="E686" t="inlineStr">
        <is>
          <t>外案</t>
        </is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</row>
    <row r="687">
      <c r="A687" t="inlineStr">
        <is>
          <t>2027/10</t>
        </is>
      </c>
      <c r="B687" t="inlineStr">
        <is>
          <t>C/92601</t>
        </is>
      </c>
      <c r="C687" t="inlineStr">
        <is>
          <t>擎邦-聯發科銅鑼</t>
        </is>
      </c>
      <c r="D687" t="inlineStr">
        <is>
          <t>外部</t>
        </is>
      </c>
      <c r="E687" t="inlineStr">
        <is>
          <t>外案</t>
        </is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</row>
    <row r="688">
      <c r="A688" t="inlineStr">
        <is>
          <t>2027/10</t>
        </is>
      </c>
      <c r="B688" t="inlineStr">
        <is>
          <t>C/92602</t>
        </is>
      </c>
      <c r="C688" t="inlineStr">
        <is>
          <t>擎邦-CF624F機電(CF690B機電)</t>
        </is>
      </c>
      <c r="D688" t="inlineStr">
        <is>
          <t>外部</t>
        </is>
      </c>
      <c r="E688" t="inlineStr">
        <is>
          <t>外案</t>
        </is>
      </c>
      <c r="F688" s="3" t="n">
        <v>238242</v>
      </c>
      <c r="G688" s="3" t="n">
        <v>111166</v>
      </c>
      <c r="H688" s="3" t="n">
        <v>349408</v>
      </c>
      <c r="I688" s="3" t="n">
        <v>0</v>
      </c>
      <c r="J688" s="3" t="n">
        <v>0</v>
      </c>
    </row>
    <row r="689">
      <c r="A689" t="inlineStr">
        <is>
          <t>2027/10</t>
        </is>
      </c>
      <c r="B689" t="inlineStr">
        <is>
          <t>C/92603</t>
        </is>
      </c>
      <c r="C689" t="inlineStr">
        <is>
          <t>中華郵政信維機電</t>
        </is>
      </c>
      <c r="D689" t="inlineStr">
        <is>
          <t>內部</t>
        </is>
      </c>
      <c r="E689" t="inlineStr">
        <is>
          <t>內案</t>
        </is>
      </c>
      <c r="F689" s="3" t="n">
        <v>238242</v>
      </c>
      <c r="G689" s="3" t="n">
        <v>116968</v>
      </c>
      <c r="H689" s="3" t="n">
        <v>355210</v>
      </c>
      <c r="I689" s="3" t="n">
        <v>0</v>
      </c>
      <c r="J689" s="3" t="n">
        <v>392000</v>
      </c>
    </row>
    <row r="690">
      <c r="A690" t="inlineStr">
        <is>
          <t>2027/10</t>
        </is>
      </c>
      <c r="B690" t="inlineStr">
        <is>
          <t>C/91001_26</t>
        </is>
      </c>
      <c r="C690" t="inlineStr">
        <is>
          <t>新取得BIM土木機電-26年</t>
        </is>
      </c>
      <c r="D690" t="inlineStr">
        <is>
          <t>內部</t>
        </is>
      </c>
      <c r="E690" t="inlineStr">
        <is>
          <t>內案</t>
        </is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</row>
    <row r="691">
      <c r="A691" t="inlineStr">
        <is>
          <t>2027/10</t>
        </is>
      </c>
      <c r="B691" t="inlineStr">
        <is>
          <t>C/91000_27</t>
        </is>
      </c>
      <c r="C691" t="inlineStr">
        <is>
          <t>新取得BIM土木機電-26年</t>
        </is>
      </c>
      <c r="D691" t="inlineStr">
        <is>
          <t>內部</t>
        </is>
      </c>
      <c r="E691" t="inlineStr">
        <is>
          <t>內案</t>
        </is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0</v>
      </c>
    </row>
    <row r="692">
      <c r="A692" t="inlineStr">
        <is>
          <t>2027/10</t>
        </is>
      </c>
      <c r="B692" t="inlineStr">
        <is>
          <t>C/91001_27</t>
        </is>
      </c>
      <c r="C692" t="inlineStr">
        <is>
          <t>新取得BIM土木機電-27年</t>
        </is>
      </c>
      <c r="D692" t="inlineStr">
        <is>
          <t>內部</t>
        </is>
      </c>
      <c r="E692" t="inlineStr">
        <is>
          <t>內案</t>
        </is>
      </c>
      <c r="F692" s="3" t="n">
        <v>595605</v>
      </c>
      <c r="G692" s="3" t="n">
        <v>1907120</v>
      </c>
      <c r="H692" s="3" t="n">
        <v>2502725</v>
      </c>
      <c r="I692" s="3" t="n">
        <v>0</v>
      </c>
      <c r="J692" s="3" t="n">
        <v>958000</v>
      </c>
    </row>
    <row r="693">
      <c r="A693" t="inlineStr">
        <is>
          <t>2027/10</t>
        </is>
      </c>
      <c r="B693" t="inlineStr">
        <is>
          <t>C/91002_27</t>
        </is>
      </c>
      <c r="C693" t="inlineStr">
        <is>
          <t>新取得BIM土木機電-28年</t>
        </is>
      </c>
      <c r="D693" t="inlineStr">
        <is>
          <t>內部</t>
        </is>
      </c>
      <c r="E693" t="inlineStr">
        <is>
          <t>內案</t>
        </is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</row>
    <row r="694">
      <c r="A694" t="inlineStr">
        <is>
          <t>2027/10</t>
        </is>
      </c>
      <c r="B694" t="inlineStr">
        <is>
          <t>C/91003_27</t>
        </is>
      </c>
      <c r="C694" t="inlineStr">
        <is>
          <t>新取得BIM土木機電-29年</t>
        </is>
      </c>
      <c r="D694" t="inlineStr">
        <is>
          <t>內部</t>
        </is>
      </c>
      <c r="E694" t="inlineStr">
        <is>
          <t>內案</t>
        </is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</row>
    <row r="695">
      <c r="A695" t="inlineStr">
        <is>
          <t>2027/10</t>
        </is>
      </c>
      <c r="B695" t="inlineStr">
        <is>
          <t>C/91004_27</t>
        </is>
      </c>
      <c r="C695" t="inlineStr">
        <is>
          <t>新取得BIM土木機電-30年</t>
        </is>
      </c>
      <c r="D695" t="inlineStr">
        <is>
          <t>內部</t>
        </is>
      </c>
      <c r="E695" t="inlineStr">
        <is>
          <t>內案</t>
        </is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0</v>
      </c>
    </row>
    <row r="696">
      <c r="A696" t="inlineStr">
        <is>
          <t>2027/10</t>
        </is>
      </c>
      <c r="B696" t="inlineStr">
        <is>
          <t>C/91005_27</t>
        </is>
      </c>
      <c r="C696" t="inlineStr">
        <is>
          <t>新取得BIM土木機電-31年</t>
        </is>
      </c>
      <c r="D696" t="inlineStr">
        <is>
          <t>內部</t>
        </is>
      </c>
      <c r="E696" t="inlineStr">
        <is>
          <t>內案</t>
        </is>
      </c>
      <c r="F696" s="3" t="n">
        <v>0</v>
      </c>
      <c r="G696" s="3" t="n">
        <v>0</v>
      </c>
      <c r="H696" s="3" t="n">
        <v>0</v>
      </c>
      <c r="I696" s="3" t="n">
        <v>0</v>
      </c>
      <c r="J696" s="3" t="n">
        <v>0</v>
      </c>
    </row>
    <row r="697">
      <c r="A697" t="inlineStr">
        <is>
          <t>2027/10</t>
        </is>
      </c>
      <c r="B697" t="inlineStr">
        <is>
          <t>C/9210F</t>
        </is>
      </c>
      <c r="C697" t="inlineStr">
        <is>
          <t>南港機廠BIM建築</t>
        </is>
      </c>
      <c r="D697" t="inlineStr">
        <is>
          <t>外部</t>
        </is>
      </c>
      <c r="E697" t="inlineStr">
        <is>
          <t>外案</t>
        </is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</row>
    <row r="698">
      <c r="A698" t="inlineStr">
        <is>
          <t>2027/10</t>
        </is>
      </c>
      <c r="B698" t="inlineStr">
        <is>
          <t>C/9210G</t>
        </is>
      </c>
      <c r="C698" t="inlineStr">
        <is>
          <t>富邦忠孝懷生BIM建築</t>
        </is>
      </c>
      <c r="D698" t="inlineStr">
        <is>
          <t>內部</t>
        </is>
      </c>
      <c r="E698" t="inlineStr">
        <is>
          <t>內案</t>
        </is>
      </c>
      <c r="F698" s="3" t="n">
        <v>7893</v>
      </c>
      <c r="G698" s="3" t="n">
        <v>-746</v>
      </c>
      <c r="H698" s="3" t="n">
        <v>7147</v>
      </c>
      <c r="I698" s="3" t="n">
        <v>746</v>
      </c>
      <c r="J698" s="3" t="n">
        <v>0</v>
      </c>
    </row>
    <row r="699">
      <c r="A699" t="inlineStr">
        <is>
          <t>2027/10</t>
        </is>
      </c>
      <c r="B699" t="inlineStr">
        <is>
          <t>C/9220E</t>
        </is>
      </c>
      <c r="C699" t="inlineStr">
        <is>
          <t>柏鴻北士科 C/9100A-22A</t>
        </is>
      </c>
      <c r="D699" t="inlineStr">
        <is>
          <t>內部</t>
        </is>
      </c>
      <c r="E699" t="inlineStr">
        <is>
          <t>內案</t>
        </is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</row>
    <row r="700">
      <c r="A700" t="inlineStr">
        <is>
          <t>2027/10</t>
        </is>
      </c>
      <c r="B700" t="inlineStr">
        <is>
          <t>C/9230A</t>
        </is>
      </c>
      <c r="C700" t="inlineStr">
        <is>
          <t>信義兒福BIM建築</t>
        </is>
      </c>
      <c r="D700" t="inlineStr">
        <is>
          <t>外部</t>
        </is>
      </c>
      <c r="E700" t="inlineStr">
        <is>
          <t>外案</t>
        </is>
      </c>
      <c r="F700" s="3" t="n">
        <v>119401</v>
      </c>
      <c r="G700" s="3" t="n">
        <v>47413</v>
      </c>
      <c r="H700" s="3" t="n">
        <v>166814</v>
      </c>
      <c r="I700" s="3" t="n">
        <v>0</v>
      </c>
      <c r="J700" s="3" t="n">
        <v>0</v>
      </c>
    </row>
    <row r="701">
      <c r="A701" t="inlineStr">
        <is>
          <t>2027/10</t>
        </is>
      </c>
      <c r="B701" t="inlineStr">
        <is>
          <t>C/9230B</t>
        </is>
      </c>
      <c r="C701" t="inlineStr">
        <is>
          <t>北捷劍潭TOD</t>
        </is>
      </c>
      <c r="D701" t="inlineStr">
        <is>
          <t>內部</t>
        </is>
      </c>
      <c r="E701" t="inlineStr">
        <is>
          <t>內案</t>
        </is>
      </c>
      <c r="F701" s="3" t="n">
        <v>249549</v>
      </c>
      <c r="G701" s="3" t="n">
        <v>138171</v>
      </c>
      <c r="H701" s="3" t="n">
        <v>387720</v>
      </c>
      <c r="I701" s="3" t="n">
        <v>0</v>
      </c>
      <c r="J701" s="3" t="n">
        <v>150000</v>
      </c>
    </row>
    <row r="702">
      <c r="A702" t="inlineStr">
        <is>
          <t>2027/10</t>
        </is>
      </c>
      <c r="B702" t="inlineStr">
        <is>
          <t>C/9230C</t>
        </is>
      </c>
      <c r="C702" t="inlineStr">
        <is>
          <t>慶城福華-23年</t>
        </is>
      </c>
      <c r="D702" t="inlineStr">
        <is>
          <t>內部</t>
        </is>
      </c>
      <c r="E702" t="inlineStr">
        <is>
          <t>內案</t>
        </is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</row>
    <row r="703">
      <c r="A703" t="inlineStr">
        <is>
          <t>2027/10</t>
        </is>
      </c>
      <c r="B703" t="inlineStr">
        <is>
          <t>C/9240A</t>
        </is>
      </c>
      <c r="C703" t="inlineStr">
        <is>
          <t>南港國際一</t>
        </is>
      </c>
      <c r="D703" t="inlineStr">
        <is>
          <t>內部</t>
        </is>
      </c>
      <c r="E703" t="inlineStr">
        <is>
          <t>內案</t>
        </is>
      </c>
      <c r="F703" s="3" t="n">
        <v>3848</v>
      </c>
      <c r="G703" s="3" t="n">
        <v>3391</v>
      </c>
      <c r="H703" s="3" t="n">
        <v>7239</v>
      </c>
      <c r="I703" s="3" t="n">
        <v>0</v>
      </c>
      <c r="J703" s="3" t="n">
        <v>0</v>
      </c>
    </row>
    <row r="704">
      <c r="A704" t="inlineStr">
        <is>
          <t>2027/10</t>
        </is>
      </c>
      <c r="B704" t="inlineStr">
        <is>
          <t>C/9240B</t>
        </is>
      </c>
      <c r="C704" t="inlineStr">
        <is>
          <t xml:space="preserve">台中洲際BIM建築 </t>
        </is>
      </c>
      <c r="D704" t="inlineStr">
        <is>
          <t>內部</t>
        </is>
      </c>
      <c r="E704" t="inlineStr">
        <is>
          <t>內案</t>
        </is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</row>
    <row r="705">
      <c r="A705" t="inlineStr">
        <is>
          <t>2027/10</t>
        </is>
      </c>
      <c r="B705" t="inlineStr">
        <is>
          <t>C/9240C</t>
        </is>
      </c>
      <c r="C705" t="inlineStr">
        <is>
          <t xml:space="preserve">大直金泰BIM建築 </t>
        </is>
      </c>
      <c r="D705" t="inlineStr">
        <is>
          <t>內部</t>
        </is>
      </c>
      <c r="E705" t="inlineStr">
        <is>
          <t>內案</t>
        </is>
      </c>
      <c r="F705" s="3" t="n">
        <v>0</v>
      </c>
      <c r="G705" s="3" t="n">
        <v>0</v>
      </c>
      <c r="H705" s="3" t="n">
        <v>0</v>
      </c>
      <c r="I705" s="3" t="n">
        <v>0</v>
      </c>
      <c r="J705" s="3" t="n">
        <v>0</v>
      </c>
    </row>
    <row r="706">
      <c r="A706" t="inlineStr">
        <is>
          <t>2027/10</t>
        </is>
      </c>
      <c r="B706" t="inlineStr">
        <is>
          <t>C/9240D</t>
        </is>
      </c>
      <c r="C706" t="inlineStr">
        <is>
          <t xml:space="preserve">板橋新雅BIM建築 </t>
        </is>
      </c>
      <c r="D706" t="inlineStr">
        <is>
          <t>內部</t>
        </is>
      </c>
      <c r="E706" t="inlineStr">
        <is>
          <t>內案</t>
        </is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</row>
    <row r="707">
      <c r="A707" t="inlineStr">
        <is>
          <t>2027/10</t>
        </is>
      </c>
      <c r="B707" t="inlineStr">
        <is>
          <t>C/9240E</t>
        </is>
      </c>
      <c r="C707" t="inlineStr">
        <is>
          <t xml:space="preserve">板橋四維BIM建築 </t>
        </is>
      </c>
      <c r="D707" t="inlineStr">
        <is>
          <t>內部</t>
        </is>
      </c>
      <c r="E707" t="inlineStr">
        <is>
          <t>內案</t>
        </is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0</v>
      </c>
    </row>
    <row r="708">
      <c r="A708" t="inlineStr">
        <is>
          <t>2027/10</t>
        </is>
      </c>
      <c r="B708" t="inlineStr">
        <is>
          <t>C/9240F</t>
        </is>
      </c>
      <c r="C708" t="inlineStr">
        <is>
          <t>台中新美齊</t>
        </is>
      </c>
      <c r="D708" t="inlineStr">
        <is>
          <t>內部</t>
        </is>
      </c>
      <c r="E708" t="inlineStr">
        <is>
          <t>內案</t>
        </is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</row>
    <row r="709">
      <c r="A709" t="inlineStr">
        <is>
          <t>2027/10</t>
        </is>
      </c>
      <c r="B709" t="inlineStr">
        <is>
          <t>C/9240G</t>
        </is>
      </c>
      <c r="C709" t="inlineStr">
        <is>
          <t>晨禎片片山閑</t>
        </is>
      </c>
      <c r="D709" t="inlineStr">
        <is>
          <t>外部</t>
        </is>
      </c>
      <c r="E709" t="inlineStr">
        <is>
          <t>外案</t>
        </is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0</v>
      </c>
    </row>
    <row r="710">
      <c r="A710" t="inlineStr">
        <is>
          <t>2027/10</t>
        </is>
      </c>
      <c r="B710" t="inlineStr">
        <is>
          <t>C/9250A</t>
        </is>
      </c>
      <c r="C710" t="inlineStr">
        <is>
          <t>南機二區BIM服務</t>
        </is>
      </c>
      <c r="D710" t="inlineStr">
        <is>
          <t>內部</t>
        </is>
      </c>
      <c r="E710" t="inlineStr">
        <is>
          <t>內案</t>
        </is>
      </c>
      <c r="F710" s="3" t="n">
        <v>723079</v>
      </c>
      <c r="G710" s="3" t="n">
        <v>179576</v>
      </c>
      <c r="H710" s="3" t="n">
        <v>902655</v>
      </c>
      <c r="I710" s="3" t="n">
        <v>0</v>
      </c>
      <c r="J710" s="3" t="n">
        <v>895000</v>
      </c>
    </row>
    <row r="711">
      <c r="A711" t="inlineStr">
        <is>
          <t>2027/10</t>
        </is>
      </c>
      <c r="B711" t="inlineStr">
        <is>
          <t>C/9250B</t>
        </is>
      </c>
      <c r="C711" t="inlineStr">
        <is>
          <t>璞真南港總部</t>
        </is>
      </c>
      <c r="D711" t="inlineStr">
        <is>
          <t>內部</t>
        </is>
      </c>
      <c r="E711" t="inlineStr">
        <is>
          <t>內案</t>
        </is>
      </c>
      <c r="F711" s="3" t="n">
        <v>1924</v>
      </c>
      <c r="G711" s="3" t="n">
        <v>959</v>
      </c>
      <c r="H711" s="3" t="n">
        <v>2883</v>
      </c>
      <c r="I711" s="3" t="n">
        <v>0</v>
      </c>
      <c r="J711" s="3" t="n">
        <v>0</v>
      </c>
    </row>
    <row r="712">
      <c r="A712" t="inlineStr">
        <is>
          <t>2027/10</t>
        </is>
      </c>
      <c r="B712" t="inlineStr">
        <is>
          <t>C/9250C</t>
        </is>
      </c>
      <c r="C712" t="inlineStr">
        <is>
          <t>築源南港</t>
        </is>
      </c>
      <c r="D712" t="inlineStr">
        <is>
          <t>內部</t>
        </is>
      </c>
      <c r="E712" t="inlineStr">
        <is>
          <t>內案</t>
        </is>
      </c>
      <c r="F712" s="3" t="n">
        <v>69794</v>
      </c>
      <c r="G712" s="3" t="n">
        <v>32625</v>
      </c>
      <c r="H712" s="3" t="n">
        <v>102419</v>
      </c>
      <c r="I712" s="3" t="n">
        <v>0</v>
      </c>
      <c r="J712" s="3" t="n">
        <v>0</v>
      </c>
    </row>
    <row r="713">
      <c r="A713" t="inlineStr">
        <is>
          <t>2027/10</t>
        </is>
      </c>
      <c r="B713" t="inlineStr">
        <is>
          <t>C/9250D</t>
        </is>
      </c>
      <c r="C713" t="inlineStr">
        <is>
          <t>南港三重</t>
        </is>
      </c>
      <c r="D713" t="inlineStr">
        <is>
          <t>內部</t>
        </is>
      </c>
      <c r="E713" t="inlineStr">
        <is>
          <t>內案</t>
        </is>
      </c>
      <c r="F713" s="3" t="n">
        <v>37427</v>
      </c>
      <c r="G713" s="3" t="n">
        <v>17059</v>
      </c>
      <c r="H713" s="3" t="n">
        <v>54486</v>
      </c>
      <c r="I713" s="3" t="n">
        <v>0</v>
      </c>
      <c r="J713" s="3" t="n">
        <v>0</v>
      </c>
    </row>
    <row r="714">
      <c r="A714" t="inlineStr">
        <is>
          <t>2027/10</t>
        </is>
      </c>
      <c r="B714" t="inlineStr">
        <is>
          <t>C/9260A</t>
        </is>
      </c>
      <c r="C714" t="inlineStr">
        <is>
          <t>台中楓溪</t>
        </is>
      </c>
      <c r="D714" t="inlineStr">
        <is>
          <t>內部</t>
        </is>
      </c>
      <c r="E714" t="inlineStr">
        <is>
          <t>內案</t>
        </is>
      </c>
      <c r="F714" s="3" t="n">
        <v>9047</v>
      </c>
      <c r="G714" s="3" t="n">
        <v>4122</v>
      </c>
      <c r="H714" s="3" t="n">
        <v>13169</v>
      </c>
      <c r="I714" s="3" t="n">
        <v>0</v>
      </c>
      <c r="J714" s="3" t="n">
        <v>0</v>
      </c>
    </row>
    <row r="715">
      <c r="A715" t="inlineStr">
        <is>
          <t>2027/10</t>
        </is>
      </c>
      <c r="B715" t="inlineStr">
        <is>
          <t>C/9260B</t>
        </is>
      </c>
      <c r="C715" t="inlineStr">
        <is>
          <t>樺輝永鑄</t>
        </is>
      </c>
      <c r="D715" t="inlineStr">
        <is>
          <t>內部</t>
        </is>
      </c>
      <c r="E715" t="inlineStr">
        <is>
          <t>內案</t>
        </is>
      </c>
      <c r="F715" s="3" t="n">
        <v>119401</v>
      </c>
      <c r="G715" s="3" t="n">
        <v>23279</v>
      </c>
      <c r="H715" s="3" t="n">
        <v>142680</v>
      </c>
      <c r="I715" s="3" t="n">
        <v>0</v>
      </c>
      <c r="J715" s="3" t="n">
        <v>320000</v>
      </c>
    </row>
    <row r="716">
      <c r="A716" t="inlineStr">
        <is>
          <t>2027/10</t>
        </is>
      </c>
      <c r="B716" t="inlineStr">
        <is>
          <t>C/9260C</t>
        </is>
      </c>
      <c r="C716" t="inlineStr">
        <is>
          <t>中華郵政信維</t>
        </is>
      </c>
      <c r="D716" t="inlineStr">
        <is>
          <t>內部</t>
        </is>
      </c>
      <c r="E716" t="inlineStr">
        <is>
          <t>內案</t>
        </is>
      </c>
      <c r="F716" s="3" t="n">
        <v>128063</v>
      </c>
      <c r="G716" s="3" t="n">
        <v>55321</v>
      </c>
      <c r="H716" s="3" t="n">
        <v>183384</v>
      </c>
      <c r="I716" s="3" t="n">
        <v>0</v>
      </c>
      <c r="J716" s="3" t="n">
        <v>407500</v>
      </c>
    </row>
    <row r="717">
      <c r="A717" t="inlineStr">
        <is>
          <t>2027/10</t>
        </is>
      </c>
      <c r="B717" t="inlineStr">
        <is>
          <t>C/9260D</t>
        </is>
      </c>
      <c r="C717" t="inlineStr">
        <is>
          <t>大安復興</t>
        </is>
      </c>
      <c r="D717" t="inlineStr">
        <is>
          <t>內部</t>
        </is>
      </c>
      <c r="E717" t="inlineStr">
        <is>
          <t>內案</t>
        </is>
      </c>
      <c r="F717" s="3" t="n">
        <v>7893</v>
      </c>
      <c r="G717" s="3" t="n">
        <v>3136</v>
      </c>
      <c r="H717" s="3" t="n">
        <v>11029</v>
      </c>
      <c r="I717" s="3" t="n">
        <v>0</v>
      </c>
      <c r="J717" s="3" t="n">
        <v>85000</v>
      </c>
    </row>
    <row r="718">
      <c r="A718" t="inlineStr">
        <is>
          <t>2027/10</t>
        </is>
      </c>
      <c r="B718" t="inlineStr">
        <is>
          <t>C/9100B_26</t>
        </is>
      </c>
      <c r="C718" t="inlineStr">
        <is>
          <t>新取得BIM建築-26年</t>
        </is>
      </c>
      <c r="D718" t="inlineStr">
        <is>
          <t>內部</t>
        </is>
      </c>
      <c r="E718" t="inlineStr">
        <is>
          <t>內案</t>
        </is>
      </c>
      <c r="F718" s="3" t="n">
        <v>0</v>
      </c>
      <c r="G718" s="3" t="n">
        <v>0</v>
      </c>
      <c r="H718" s="3" t="n">
        <v>0</v>
      </c>
      <c r="I718" s="3" t="n">
        <v>0</v>
      </c>
      <c r="J718" s="3" t="n">
        <v>0</v>
      </c>
    </row>
    <row r="719">
      <c r="A719" t="inlineStr">
        <is>
          <t>2027/10</t>
        </is>
      </c>
      <c r="B719" t="inlineStr">
        <is>
          <t>C/9100A_27</t>
        </is>
      </c>
      <c r="C719" t="inlineStr">
        <is>
          <t>新取得BIM建築-26年</t>
        </is>
      </c>
      <c r="D719" t="inlineStr">
        <is>
          <t>內部</t>
        </is>
      </c>
      <c r="E719" t="inlineStr">
        <is>
          <t>內案</t>
        </is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</row>
    <row r="720">
      <c r="A720" t="inlineStr">
        <is>
          <t>2027/10</t>
        </is>
      </c>
      <c r="B720" t="inlineStr">
        <is>
          <t>C/9100B_27</t>
        </is>
      </c>
      <c r="C720" t="inlineStr">
        <is>
          <t>新取得BIM建築-27年</t>
        </is>
      </c>
      <c r="D720" t="inlineStr">
        <is>
          <t>內部</t>
        </is>
      </c>
      <c r="E720" t="inlineStr">
        <is>
          <t>內案</t>
        </is>
      </c>
      <c r="F720" s="3" t="n">
        <v>886675</v>
      </c>
      <c r="G720" s="3" t="n">
        <v>335618</v>
      </c>
      <c r="H720" s="3" t="n">
        <v>1222293</v>
      </c>
      <c r="I720" s="3" t="n">
        <v>0</v>
      </c>
      <c r="J720" s="3" t="n">
        <v>1575000</v>
      </c>
    </row>
    <row r="721">
      <c r="A721" t="inlineStr">
        <is>
          <t>2027/10</t>
        </is>
      </c>
      <c r="B721" t="inlineStr">
        <is>
          <t>C/9100C_27</t>
        </is>
      </c>
      <c r="C721" t="inlineStr">
        <is>
          <t>新取得BIM建築-28年</t>
        </is>
      </c>
      <c r="D721" t="inlineStr">
        <is>
          <t>內部</t>
        </is>
      </c>
      <c r="E721" t="inlineStr">
        <is>
          <t>內案</t>
        </is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</row>
    <row r="722">
      <c r="A722" t="inlineStr">
        <is>
          <t>2027/10</t>
        </is>
      </c>
      <c r="B722" t="inlineStr">
        <is>
          <t>C/9100D_27</t>
        </is>
      </c>
      <c r="C722" t="inlineStr">
        <is>
          <t>新取得BIM建築-29年</t>
        </is>
      </c>
      <c r="D722" t="inlineStr">
        <is>
          <t>內部</t>
        </is>
      </c>
      <c r="E722" t="inlineStr">
        <is>
          <t>內案</t>
        </is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</row>
    <row r="723">
      <c r="A723" t="inlineStr">
        <is>
          <t>2027/10</t>
        </is>
      </c>
      <c r="B723" t="inlineStr">
        <is>
          <t>C/9100E_27</t>
        </is>
      </c>
      <c r="C723" t="inlineStr">
        <is>
          <t>新取得BIM建築-30年</t>
        </is>
      </c>
      <c r="D723" t="inlineStr">
        <is>
          <t>內部</t>
        </is>
      </c>
      <c r="E723" t="inlineStr">
        <is>
          <t>內案</t>
        </is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</row>
    <row r="724">
      <c r="A724" t="inlineStr">
        <is>
          <t>2027/10</t>
        </is>
      </c>
      <c r="B724" t="inlineStr">
        <is>
          <t>C/9100F_27</t>
        </is>
      </c>
      <c r="C724" t="inlineStr">
        <is>
          <t>新取得BIM建築-31年</t>
        </is>
      </c>
      <c r="D724" t="inlineStr">
        <is>
          <t>內部</t>
        </is>
      </c>
      <c r="E724" t="inlineStr">
        <is>
          <t>內案</t>
        </is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</row>
    <row r="725">
      <c r="A725" t="inlineStr">
        <is>
          <t>2027/10</t>
        </is>
      </c>
      <c r="B725" t="inlineStr">
        <is>
          <t>C/99992</t>
        </is>
      </c>
      <c r="C725" t="inlineStr">
        <is>
          <t>雜項BIM土木機電</t>
        </is>
      </c>
      <c r="D725" t="inlineStr">
        <is>
          <t>內/無</t>
        </is>
      </c>
      <c r="E725" t="inlineStr">
        <is>
          <t>雜項</t>
        </is>
      </c>
      <c r="F725" s="3" t="n">
        <v>23824</v>
      </c>
      <c r="G725" s="3" t="n">
        <v>5676</v>
      </c>
      <c r="H725" s="3" t="n">
        <v>29500</v>
      </c>
      <c r="I725" s="3" t="n">
        <v>0</v>
      </c>
      <c r="J725" s="3" t="n">
        <v>29500</v>
      </c>
    </row>
    <row r="726">
      <c r="A726" t="inlineStr">
        <is>
          <t>2027/10</t>
        </is>
      </c>
      <c r="B726" t="inlineStr">
        <is>
          <t>C/99992-1</t>
        </is>
      </c>
      <c r="C726" t="inlineStr">
        <is>
          <t>雜項BIM土木機電(外案收入)</t>
        </is>
      </c>
      <c r="D726" t="inlineStr">
        <is>
          <t>外部</t>
        </is>
      </c>
      <c r="E726" t="inlineStr">
        <is>
          <t>外案</t>
        </is>
      </c>
      <c r="F726" s="3" t="n">
        <v>0</v>
      </c>
      <c r="G726" s="3" t="n">
        <v>0</v>
      </c>
      <c r="H726" s="3" t="n">
        <v>0</v>
      </c>
      <c r="I726" s="3" t="n">
        <v>0</v>
      </c>
      <c r="J726" s="3" t="n">
        <v>0</v>
      </c>
    </row>
    <row r="727">
      <c r="A727" t="inlineStr">
        <is>
          <t>2027/10</t>
        </is>
      </c>
      <c r="B727" t="inlineStr">
        <is>
          <t>C/99993</t>
        </is>
      </c>
      <c r="C727" t="inlineStr">
        <is>
          <t>備標BIM土木機電</t>
        </is>
      </c>
      <c r="D727" t="inlineStr">
        <is>
          <t>備標</t>
        </is>
      </c>
      <c r="E727" t="inlineStr">
        <is>
          <t>備標</t>
        </is>
      </c>
      <c r="F727" s="3" t="n">
        <v>59561</v>
      </c>
      <c r="G727" s="3" t="n">
        <v>-59561</v>
      </c>
      <c r="H727" s="3" t="n">
        <v>0</v>
      </c>
      <c r="I727" s="3" t="n">
        <v>0</v>
      </c>
      <c r="J727" s="3" t="n">
        <v>0</v>
      </c>
    </row>
    <row r="728">
      <c r="A728" t="inlineStr">
        <is>
          <t>2027/10</t>
        </is>
      </c>
      <c r="B728" t="inlineStr">
        <is>
          <t>C/9999B</t>
        </is>
      </c>
      <c r="C728" t="inlineStr">
        <is>
          <t>雜項BIM建築</t>
        </is>
      </c>
      <c r="D728" t="inlineStr">
        <is>
          <t>內/無</t>
        </is>
      </c>
      <c r="E728" t="inlineStr">
        <is>
          <t>雜項</t>
        </is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</row>
    <row r="729">
      <c r="A729" t="inlineStr">
        <is>
          <t>2027/10</t>
        </is>
      </c>
      <c r="B729" t="inlineStr">
        <is>
          <t>C/9999D</t>
        </is>
      </c>
      <c r="C729" t="inlineStr">
        <is>
          <t>備標BIM建築</t>
        </is>
      </c>
      <c r="D729" t="inlineStr">
        <is>
          <t>備標</t>
        </is>
      </c>
      <c r="E729" t="inlineStr">
        <is>
          <t>備標</t>
        </is>
      </c>
      <c r="F729" s="3" t="n">
        <v>110353</v>
      </c>
      <c r="G729" s="3" t="n">
        <v>64647</v>
      </c>
      <c r="H729" s="3" t="n">
        <v>175000</v>
      </c>
      <c r="I729" s="3" t="n">
        <v>0</v>
      </c>
      <c r="J729" s="3" t="n">
        <v>175000</v>
      </c>
    </row>
    <row r="730">
      <c r="A730" t="inlineStr">
        <is>
          <t>2027/11</t>
        </is>
      </c>
      <c r="B730" t="inlineStr">
        <is>
          <t>C/92103</t>
        </is>
      </c>
      <c r="C730" t="inlineStr">
        <is>
          <t>CQ840 BIM</t>
        </is>
      </c>
      <c r="D730" t="inlineStr">
        <is>
          <t>內部</t>
        </is>
      </c>
      <c r="E730" t="inlineStr">
        <is>
          <t>內案</t>
        </is>
      </c>
      <c r="F730" s="3" t="n">
        <v>98871</v>
      </c>
      <c r="G730" s="3" t="n">
        <v>-16810</v>
      </c>
      <c r="H730" s="3" t="n">
        <v>82061</v>
      </c>
      <c r="I730" s="3" t="n">
        <v>16810</v>
      </c>
      <c r="J730" s="3" t="n">
        <v>0</v>
      </c>
    </row>
    <row r="731">
      <c r="A731" t="inlineStr">
        <is>
          <t>2027/11</t>
        </is>
      </c>
      <c r="B731" t="inlineStr">
        <is>
          <t>C/92202</t>
        </is>
      </c>
      <c r="C731" t="inlineStr">
        <is>
          <t>CF680C BIM</t>
        </is>
      </c>
      <c r="D731" t="inlineStr">
        <is>
          <t>內部</t>
        </is>
      </c>
      <c r="E731" t="inlineStr">
        <is>
          <t>內案</t>
        </is>
      </c>
      <c r="F731" s="3" t="n">
        <v>26133</v>
      </c>
      <c r="G731" s="3" t="n">
        <v>12567</v>
      </c>
      <c r="H731" s="3" t="n">
        <v>38700</v>
      </c>
      <c r="I731" s="3" t="n">
        <v>0</v>
      </c>
      <c r="J731" s="3" t="n">
        <v>0</v>
      </c>
    </row>
    <row r="732">
      <c r="A732" t="inlineStr">
        <is>
          <t>2027/11</t>
        </is>
      </c>
      <c r="B732" t="inlineStr">
        <is>
          <t>C/92203</t>
        </is>
      </c>
      <c r="C732" t="inlineStr">
        <is>
          <t>N－WH BIM</t>
        </is>
      </c>
      <c r="D732" t="inlineStr">
        <is>
          <t>內部</t>
        </is>
      </c>
      <c r="E732" t="inlineStr">
        <is>
          <t>內案</t>
        </is>
      </c>
      <c r="F732" s="3" t="n">
        <v>26206</v>
      </c>
      <c r="G732" s="3" t="n">
        <v>9055</v>
      </c>
      <c r="H732" s="3" t="n">
        <v>35261</v>
      </c>
      <c r="I732" s="3" t="n">
        <v>0</v>
      </c>
      <c r="J732" s="3" t="n">
        <v>75000</v>
      </c>
    </row>
    <row r="733">
      <c r="A733" t="inlineStr">
        <is>
          <t>2027/11</t>
        </is>
      </c>
      <c r="B733" t="inlineStr">
        <is>
          <t>C/92204</t>
        </is>
      </c>
      <c r="C733" t="inlineStr">
        <is>
          <t>國揚吉林機電</t>
        </is>
      </c>
      <c r="D733" t="inlineStr">
        <is>
          <t>內部</t>
        </is>
      </c>
      <c r="E733" t="inlineStr">
        <is>
          <t>內案</t>
        </is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0</v>
      </c>
    </row>
    <row r="734">
      <c r="A734" t="inlineStr">
        <is>
          <t>2027/11</t>
        </is>
      </c>
      <c r="B734" t="inlineStr">
        <is>
          <t>C/92301</t>
        </is>
      </c>
      <c r="C734" t="inlineStr">
        <is>
          <t>CF670A BIM 土木機電</t>
        </is>
      </c>
      <c r="D734" t="inlineStr">
        <is>
          <t>內部</t>
        </is>
      </c>
      <c r="E734" t="inlineStr">
        <is>
          <t>內案</t>
        </is>
      </c>
      <c r="F734" s="3" t="n">
        <v>42810</v>
      </c>
      <c r="G734" s="3" t="n">
        <v>4917</v>
      </c>
      <c r="H734" s="3" t="n">
        <v>47727</v>
      </c>
      <c r="I734" s="3" t="n">
        <v>0</v>
      </c>
      <c r="J734" s="3" t="n">
        <v>30000</v>
      </c>
    </row>
    <row r="735">
      <c r="A735" t="inlineStr">
        <is>
          <t>2027/11</t>
        </is>
      </c>
      <c r="B735" t="inlineStr">
        <is>
          <t>C/92302</t>
        </is>
      </c>
      <c r="C735" t="inlineStr">
        <is>
          <t>富邦忠孝懷生BIM機電</t>
        </is>
      </c>
      <c r="D735" t="inlineStr">
        <is>
          <t>內部</t>
        </is>
      </c>
      <c r="E735" t="inlineStr">
        <is>
          <t>內案</t>
        </is>
      </c>
      <c r="F735" s="3" t="n">
        <v>0</v>
      </c>
      <c r="G735" s="3" t="n">
        <v>0</v>
      </c>
      <c r="H735" s="3" t="n">
        <v>0</v>
      </c>
      <c r="I735" s="3" t="n">
        <v>0</v>
      </c>
      <c r="J735" s="3" t="n">
        <v>0</v>
      </c>
    </row>
    <row r="736">
      <c r="A736" t="inlineStr">
        <is>
          <t>2027/11</t>
        </is>
      </c>
      <c r="B736" t="inlineStr">
        <is>
          <t>C/92303</t>
        </is>
      </c>
      <c r="C736" t="inlineStr">
        <is>
          <t>信義兒福BIM機電</t>
        </is>
      </c>
      <c r="D736" t="inlineStr">
        <is>
          <t>外部</t>
        </is>
      </c>
      <c r="E736" t="inlineStr">
        <is>
          <t>外案</t>
        </is>
      </c>
      <c r="F736" s="3" t="n">
        <v>39310</v>
      </c>
      <c r="G736" s="3" t="n">
        <v>9504</v>
      </c>
      <c r="H736" s="3" t="n">
        <v>48814</v>
      </c>
      <c r="I736" s="3" t="n">
        <v>0</v>
      </c>
      <c r="J736" s="3" t="n">
        <v>0</v>
      </c>
    </row>
    <row r="737">
      <c r="A737" t="inlineStr">
        <is>
          <t>2027/11</t>
        </is>
      </c>
      <c r="B737" t="inlineStr">
        <is>
          <t>C/92304</t>
        </is>
      </c>
      <c r="C737" t="inlineStr">
        <is>
          <t>捷運劍潭站TOD統包BIM機電</t>
        </is>
      </c>
      <c r="D737" t="inlineStr">
        <is>
          <t>內部</t>
        </is>
      </c>
      <c r="E737" t="inlineStr">
        <is>
          <t>內案</t>
        </is>
      </c>
      <c r="F737" s="3" t="n">
        <v>119121</v>
      </c>
      <c r="G737" s="3" t="n">
        <v>12834</v>
      </c>
      <c r="H737" s="3" t="n">
        <v>131955</v>
      </c>
      <c r="I737" s="3" t="n">
        <v>0</v>
      </c>
      <c r="J737" s="3" t="n">
        <v>160000</v>
      </c>
    </row>
    <row r="738">
      <c r="A738" t="inlineStr">
        <is>
          <t>2027/11</t>
        </is>
      </c>
      <c r="B738" t="inlineStr">
        <is>
          <t>C/92401</t>
        </is>
      </c>
      <c r="C738" t="inlineStr">
        <is>
          <t>CJ17 土木機電</t>
        </is>
      </c>
      <c r="D738" t="inlineStr">
        <is>
          <t>內部</t>
        </is>
      </c>
      <c r="E738" t="inlineStr">
        <is>
          <t>內案</t>
        </is>
      </c>
      <c r="F738" s="3" t="n">
        <v>51149</v>
      </c>
      <c r="G738" s="3" t="n">
        <v>24763</v>
      </c>
      <c r="H738" s="3" t="n">
        <v>75912</v>
      </c>
      <c r="I738" s="3" t="n">
        <v>0</v>
      </c>
      <c r="J738" s="3" t="n">
        <v>431668</v>
      </c>
    </row>
    <row r="739">
      <c r="A739" t="inlineStr">
        <is>
          <t>2027/11</t>
        </is>
      </c>
      <c r="B739" t="inlineStr">
        <is>
          <t>C/92501</t>
        </is>
      </c>
      <c r="C739" t="inlineStr">
        <is>
          <t>CF670 BIM土木機電</t>
        </is>
      </c>
      <c r="D739" t="inlineStr">
        <is>
          <t>內部</t>
        </is>
      </c>
      <c r="E739" t="inlineStr">
        <is>
          <t>內案</t>
        </is>
      </c>
      <c r="F739" s="3" t="n">
        <v>82119</v>
      </c>
      <c r="G739" s="3" t="n">
        <v>39215</v>
      </c>
      <c r="H739" s="3" t="n">
        <v>121334</v>
      </c>
      <c r="I739" s="3" t="n">
        <v>0</v>
      </c>
      <c r="J739" s="3" t="n">
        <v>60000</v>
      </c>
    </row>
    <row r="740">
      <c r="A740" t="inlineStr">
        <is>
          <t>2027/11</t>
        </is>
      </c>
      <c r="B740" t="inlineStr">
        <is>
          <t>C/92502</t>
        </is>
      </c>
      <c r="C740" t="inlineStr">
        <is>
          <t>擎邦-聯發科機電</t>
        </is>
      </c>
      <c r="D740" t="inlineStr">
        <is>
          <t>外部</t>
        </is>
      </c>
      <c r="E740" t="inlineStr">
        <is>
          <t>外案</t>
        </is>
      </c>
      <c r="F740" s="3" t="n">
        <v>95297</v>
      </c>
      <c r="G740" s="3" t="n">
        <v>74108</v>
      </c>
      <c r="H740" s="3" t="n">
        <v>169405</v>
      </c>
      <c r="I740" s="3" t="n">
        <v>0</v>
      </c>
      <c r="J740" s="3" t="n">
        <v>0</v>
      </c>
    </row>
    <row r="741">
      <c r="A741" t="inlineStr">
        <is>
          <t>2027/11</t>
        </is>
      </c>
      <c r="B741" t="inlineStr">
        <is>
          <t>C/92503</t>
        </is>
      </c>
      <c r="C741" t="inlineStr">
        <is>
          <t>CF690B BIM土木</t>
        </is>
      </c>
      <c r="D741" t="inlineStr">
        <is>
          <t>外部</t>
        </is>
      </c>
      <c r="E741" t="inlineStr">
        <is>
          <t>外案</t>
        </is>
      </c>
      <c r="F741" s="3" t="n">
        <v>39236</v>
      </c>
      <c r="G741" s="3" t="n">
        <v>16360</v>
      </c>
      <c r="H741" s="3" t="n">
        <v>55596</v>
      </c>
      <c r="I741" s="3" t="n">
        <v>0</v>
      </c>
      <c r="J741" s="3" t="n">
        <v>0</v>
      </c>
    </row>
    <row r="742">
      <c r="A742" t="inlineStr">
        <is>
          <t>2027/11</t>
        </is>
      </c>
      <c r="B742" t="inlineStr">
        <is>
          <t>C/92504</t>
        </is>
      </c>
      <c r="C742" t="inlineStr">
        <is>
          <t>擎邦-員榮總醫院BIM</t>
        </is>
      </c>
      <c r="D742" t="inlineStr">
        <is>
          <t>外部</t>
        </is>
      </c>
      <c r="E742" t="inlineStr">
        <is>
          <t>外案</t>
        </is>
      </c>
      <c r="F742" s="3" t="n">
        <v>0</v>
      </c>
      <c r="G742" s="3" t="n">
        <v>0</v>
      </c>
      <c r="H742" s="3" t="n">
        <v>0</v>
      </c>
      <c r="I742" s="3" t="n">
        <v>0</v>
      </c>
      <c r="J742" s="3" t="n">
        <v>0</v>
      </c>
    </row>
    <row r="743">
      <c r="A743" t="inlineStr">
        <is>
          <t>2027/11</t>
        </is>
      </c>
      <c r="B743" t="inlineStr">
        <is>
          <t>C/92601</t>
        </is>
      </c>
      <c r="C743" t="inlineStr">
        <is>
          <t>擎邦-聯發科銅鑼</t>
        </is>
      </c>
      <c r="D743" t="inlineStr">
        <is>
          <t>外部</t>
        </is>
      </c>
      <c r="E743" t="inlineStr">
        <is>
          <t>外案</t>
        </is>
      </c>
      <c r="F743" s="3" t="n">
        <v>0</v>
      </c>
      <c r="G743" s="3" t="n">
        <v>0</v>
      </c>
      <c r="H743" s="3" t="n">
        <v>0</v>
      </c>
      <c r="I743" s="3" t="n">
        <v>0</v>
      </c>
      <c r="J743" s="3" t="n">
        <v>0</v>
      </c>
    </row>
    <row r="744">
      <c r="A744" t="inlineStr">
        <is>
          <t>2027/11</t>
        </is>
      </c>
      <c r="B744" t="inlineStr">
        <is>
          <t>C/92602</t>
        </is>
      </c>
      <c r="C744" t="inlineStr">
        <is>
          <t>擎邦-CF624F機電(CF690B機電)</t>
        </is>
      </c>
      <c r="D744" t="inlineStr">
        <is>
          <t>外部</t>
        </is>
      </c>
      <c r="E744" t="inlineStr">
        <is>
          <t>外案</t>
        </is>
      </c>
      <c r="F744" s="3" t="n">
        <v>238242</v>
      </c>
      <c r="G744" s="3" t="n">
        <v>111167</v>
      </c>
      <c r="H744" s="3" t="n">
        <v>349409</v>
      </c>
      <c r="I744" s="3" t="n">
        <v>0</v>
      </c>
      <c r="J744" s="3" t="n">
        <v>0</v>
      </c>
    </row>
    <row r="745">
      <c r="A745" t="inlineStr">
        <is>
          <t>2027/11</t>
        </is>
      </c>
      <c r="B745" t="inlineStr">
        <is>
          <t>C/92603</t>
        </is>
      </c>
      <c r="C745" t="inlineStr">
        <is>
          <t>中華郵政信維機電</t>
        </is>
      </c>
      <c r="D745" t="inlineStr">
        <is>
          <t>內部</t>
        </is>
      </c>
      <c r="E745" t="inlineStr">
        <is>
          <t>內案</t>
        </is>
      </c>
      <c r="F745" s="3" t="n">
        <v>238242</v>
      </c>
      <c r="G745" s="3" t="n">
        <v>116968</v>
      </c>
      <c r="H745" s="3" t="n">
        <v>355210</v>
      </c>
      <c r="I745" s="3" t="n">
        <v>0</v>
      </c>
      <c r="J745" s="3" t="n">
        <v>392000</v>
      </c>
    </row>
    <row r="746">
      <c r="A746" t="inlineStr">
        <is>
          <t>2027/11</t>
        </is>
      </c>
      <c r="B746" t="inlineStr">
        <is>
          <t>C/91001_26</t>
        </is>
      </c>
      <c r="C746" t="inlineStr">
        <is>
          <t>新取得BIM土木機電-26年</t>
        </is>
      </c>
      <c r="D746" t="inlineStr">
        <is>
          <t>內部</t>
        </is>
      </c>
      <c r="E746" t="inlineStr">
        <is>
          <t>內案</t>
        </is>
      </c>
      <c r="F746" s="3" t="n">
        <v>0</v>
      </c>
      <c r="G746" s="3" t="n">
        <v>0</v>
      </c>
      <c r="H746" s="3" t="n">
        <v>0</v>
      </c>
      <c r="I746" s="3" t="n">
        <v>0</v>
      </c>
      <c r="J746" s="3" t="n">
        <v>0</v>
      </c>
    </row>
    <row r="747">
      <c r="A747" t="inlineStr">
        <is>
          <t>2027/11</t>
        </is>
      </c>
      <c r="B747" t="inlineStr">
        <is>
          <t>C/91000_27</t>
        </is>
      </c>
      <c r="C747" t="inlineStr">
        <is>
          <t>新取得BIM土木機電-26年</t>
        </is>
      </c>
      <c r="D747" t="inlineStr">
        <is>
          <t>內部</t>
        </is>
      </c>
      <c r="E747" t="inlineStr">
        <is>
          <t>內案</t>
        </is>
      </c>
      <c r="F747" s="3" t="n">
        <v>0</v>
      </c>
      <c r="G747" s="3" t="n">
        <v>0</v>
      </c>
      <c r="H747" s="3" t="n">
        <v>0</v>
      </c>
      <c r="I747" s="3" t="n">
        <v>0</v>
      </c>
      <c r="J747" s="3" t="n">
        <v>0</v>
      </c>
    </row>
    <row r="748">
      <c r="A748" t="inlineStr">
        <is>
          <t>2027/11</t>
        </is>
      </c>
      <c r="B748" t="inlineStr">
        <is>
          <t>C/91001_27</t>
        </is>
      </c>
      <c r="C748" t="inlineStr">
        <is>
          <t>新取得BIM土木機電-27年</t>
        </is>
      </c>
      <c r="D748" t="inlineStr">
        <is>
          <t>內部</t>
        </is>
      </c>
      <c r="E748" t="inlineStr">
        <is>
          <t>內案</t>
        </is>
      </c>
      <c r="F748" s="3" t="n">
        <v>714726</v>
      </c>
      <c r="G748" s="3" t="n">
        <v>357870</v>
      </c>
      <c r="H748" s="3" t="n">
        <v>1072596</v>
      </c>
      <c r="I748" s="3" t="n">
        <v>0</v>
      </c>
      <c r="J748" s="3" t="n">
        <v>958000</v>
      </c>
    </row>
    <row r="749">
      <c r="A749" t="inlineStr">
        <is>
          <t>2027/11</t>
        </is>
      </c>
      <c r="B749" t="inlineStr">
        <is>
          <t>C/91002_27</t>
        </is>
      </c>
      <c r="C749" t="inlineStr">
        <is>
          <t>新取得BIM土木機電-28年</t>
        </is>
      </c>
      <c r="D749" t="inlineStr">
        <is>
          <t>內部</t>
        </is>
      </c>
      <c r="E749" t="inlineStr">
        <is>
          <t>內案</t>
        </is>
      </c>
      <c r="F749" s="3" t="n">
        <v>0</v>
      </c>
      <c r="G749" s="3" t="n">
        <v>0</v>
      </c>
      <c r="H749" s="3" t="n">
        <v>0</v>
      </c>
      <c r="I749" s="3" t="n">
        <v>0</v>
      </c>
      <c r="J749" s="3" t="n">
        <v>0</v>
      </c>
    </row>
    <row r="750">
      <c r="A750" t="inlineStr">
        <is>
          <t>2027/11</t>
        </is>
      </c>
      <c r="B750" t="inlineStr">
        <is>
          <t>C/91003_27</t>
        </is>
      </c>
      <c r="C750" t="inlineStr">
        <is>
          <t>新取得BIM土木機電-29年</t>
        </is>
      </c>
      <c r="D750" t="inlineStr">
        <is>
          <t>內部</t>
        </is>
      </c>
      <c r="E750" t="inlineStr">
        <is>
          <t>內案</t>
        </is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</row>
    <row r="751">
      <c r="A751" t="inlineStr">
        <is>
          <t>2027/11</t>
        </is>
      </c>
      <c r="B751" t="inlineStr">
        <is>
          <t>C/91004_27</t>
        </is>
      </c>
      <c r="C751" t="inlineStr">
        <is>
          <t>新取得BIM土木機電-30年</t>
        </is>
      </c>
      <c r="D751" t="inlineStr">
        <is>
          <t>內部</t>
        </is>
      </c>
      <c r="E751" t="inlineStr">
        <is>
          <t>內案</t>
        </is>
      </c>
      <c r="F751" s="3" t="n">
        <v>0</v>
      </c>
      <c r="G751" s="3" t="n">
        <v>0</v>
      </c>
      <c r="H751" s="3" t="n">
        <v>0</v>
      </c>
      <c r="I751" s="3" t="n">
        <v>0</v>
      </c>
      <c r="J751" s="3" t="n">
        <v>0</v>
      </c>
    </row>
    <row r="752">
      <c r="A752" t="inlineStr">
        <is>
          <t>2027/11</t>
        </is>
      </c>
      <c r="B752" t="inlineStr">
        <is>
          <t>C/91005_27</t>
        </is>
      </c>
      <c r="C752" t="inlineStr">
        <is>
          <t>新取得BIM土木機電-31年</t>
        </is>
      </c>
      <c r="D752" t="inlineStr">
        <is>
          <t>內部</t>
        </is>
      </c>
      <c r="E752" t="inlineStr">
        <is>
          <t>內案</t>
        </is>
      </c>
      <c r="F752" s="3" t="n">
        <v>0</v>
      </c>
      <c r="G752" s="3" t="n">
        <v>0</v>
      </c>
      <c r="H752" s="3" t="n">
        <v>0</v>
      </c>
      <c r="I752" s="3" t="n">
        <v>0</v>
      </c>
      <c r="J752" s="3" t="n">
        <v>0</v>
      </c>
    </row>
    <row r="753">
      <c r="A753" t="inlineStr">
        <is>
          <t>2027/11</t>
        </is>
      </c>
      <c r="B753" t="inlineStr">
        <is>
          <t>C/9210F</t>
        </is>
      </c>
      <c r="C753" t="inlineStr">
        <is>
          <t>南港機廠BIM建築</t>
        </is>
      </c>
      <c r="D753" t="inlineStr">
        <is>
          <t>外部</t>
        </is>
      </c>
      <c r="E753" t="inlineStr">
        <is>
          <t>外案</t>
        </is>
      </c>
      <c r="F753" s="3" t="n">
        <v>0</v>
      </c>
      <c r="G753" s="3" t="n">
        <v>0</v>
      </c>
      <c r="H753" s="3" t="n">
        <v>0</v>
      </c>
      <c r="I753" s="3" t="n">
        <v>0</v>
      </c>
      <c r="J753" s="3" t="n">
        <v>0</v>
      </c>
    </row>
    <row r="754">
      <c r="A754" t="inlineStr">
        <is>
          <t>2027/11</t>
        </is>
      </c>
      <c r="B754" t="inlineStr">
        <is>
          <t>C/9210G</t>
        </is>
      </c>
      <c r="C754" t="inlineStr">
        <is>
          <t>富邦忠孝懷生BIM建築</t>
        </is>
      </c>
      <c r="D754" t="inlineStr">
        <is>
          <t>內部</t>
        </is>
      </c>
      <c r="E754" t="inlineStr">
        <is>
          <t>內案</t>
        </is>
      </c>
      <c r="F754" s="3" t="n">
        <v>0</v>
      </c>
      <c r="G754" s="3" t="n">
        <v>0</v>
      </c>
      <c r="H754" s="3" t="n">
        <v>0</v>
      </c>
      <c r="I754" s="3" t="n">
        <v>0</v>
      </c>
      <c r="J754" s="3" t="n">
        <v>0</v>
      </c>
    </row>
    <row r="755">
      <c r="A755" t="inlineStr">
        <is>
          <t>2027/11</t>
        </is>
      </c>
      <c r="B755" t="inlineStr">
        <is>
          <t>C/9220E</t>
        </is>
      </c>
      <c r="C755" t="inlineStr">
        <is>
          <t>柏鴻北士科 C/9100A-22A</t>
        </is>
      </c>
      <c r="D755" t="inlineStr">
        <is>
          <t>內部</t>
        </is>
      </c>
      <c r="E755" t="inlineStr">
        <is>
          <t>內案</t>
        </is>
      </c>
      <c r="F755" s="3" t="n">
        <v>0</v>
      </c>
      <c r="G755" s="3" t="n">
        <v>0</v>
      </c>
      <c r="H755" s="3" t="n">
        <v>0</v>
      </c>
      <c r="I755" s="3" t="n">
        <v>0</v>
      </c>
      <c r="J755" s="3" t="n">
        <v>0</v>
      </c>
    </row>
    <row r="756">
      <c r="A756" t="inlineStr">
        <is>
          <t>2027/11</t>
        </is>
      </c>
      <c r="B756" t="inlineStr">
        <is>
          <t>C/9230A</t>
        </is>
      </c>
      <c r="C756" t="inlineStr">
        <is>
          <t>信義兒福BIM建築</t>
        </is>
      </c>
      <c r="D756" t="inlineStr">
        <is>
          <t>外部</t>
        </is>
      </c>
      <c r="E756" t="inlineStr">
        <is>
          <t>外案</t>
        </is>
      </c>
      <c r="F756" s="3" t="n">
        <v>120690</v>
      </c>
      <c r="G756" s="3" t="n">
        <v>47925</v>
      </c>
      <c r="H756" s="3" t="n">
        <v>168615</v>
      </c>
      <c r="I756" s="3" t="n">
        <v>0</v>
      </c>
      <c r="J756" s="3" t="n">
        <v>0</v>
      </c>
    </row>
    <row r="757">
      <c r="A757" t="inlineStr">
        <is>
          <t>2027/11</t>
        </is>
      </c>
      <c r="B757" t="inlineStr">
        <is>
          <t>C/9230B</t>
        </is>
      </c>
      <c r="C757" t="inlineStr">
        <is>
          <t>北捷劍潭TOD</t>
        </is>
      </c>
      <c r="D757" t="inlineStr">
        <is>
          <t>內部</t>
        </is>
      </c>
      <c r="E757" t="inlineStr">
        <is>
          <t>內案</t>
        </is>
      </c>
      <c r="F757" s="3" t="n">
        <v>197680</v>
      </c>
      <c r="G757" s="3" t="n">
        <v>109452</v>
      </c>
      <c r="H757" s="3" t="n">
        <v>307132</v>
      </c>
      <c r="I757" s="3" t="n">
        <v>0</v>
      </c>
      <c r="J757" s="3" t="n">
        <v>630000</v>
      </c>
    </row>
    <row r="758">
      <c r="A758" t="inlineStr">
        <is>
          <t>2027/11</t>
        </is>
      </c>
      <c r="B758" t="inlineStr">
        <is>
          <t>C/9230C</t>
        </is>
      </c>
      <c r="C758" t="inlineStr">
        <is>
          <t>慶城福華-23年</t>
        </is>
      </c>
      <c r="D758" t="inlineStr">
        <is>
          <t>內部</t>
        </is>
      </c>
      <c r="E758" t="inlineStr">
        <is>
          <t>內案</t>
        </is>
      </c>
      <c r="F758" s="3" t="n">
        <v>0</v>
      </c>
      <c r="G758" s="3" t="n">
        <v>0</v>
      </c>
      <c r="H758" s="3" t="n">
        <v>0</v>
      </c>
      <c r="I758" s="3" t="n">
        <v>0</v>
      </c>
      <c r="J758" s="3" t="n">
        <v>0</v>
      </c>
    </row>
    <row r="759">
      <c r="A759" t="inlineStr">
        <is>
          <t>2027/11</t>
        </is>
      </c>
      <c r="B759" t="inlineStr">
        <is>
          <t>C/9240A</t>
        </is>
      </c>
      <c r="C759" t="inlineStr">
        <is>
          <t>南港國際一</t>
        </is>
      </c>
      <c r="D759" t="inlineStr">
        <is>
          <t>內部</t>
        </is>
      </c>
      <c r="E759" t="inlineStr">
        <is>
          <t>內案</t>
        </is>
      </c>
      <c r="F759" s="3" t="n">
        <v>3848</v>
      </c>
      <c r="G759" s="3" t="n">
        <v>3391</v>
      </c>
      <c r="H759" s="3" t="n">
        <v>7239</v>
      </c>
      <c r="I759" s="3" t="n">
        <v>0</v>
      </c>
      <c r="J759" s="3" t="n">
        <v>0</v>
      </c>
    </row>
    <row r="760">
      <c r="A760" t="inlineStr">
        <is>
          <t>2027/11</t>
        </is>
      </c>
      <c r="B760" t="inlineStr">
        <is>
          <t>C/9240B</t>
        </is>
      </c>
      <c r="C760" t="inlineStr">
        <is>
          <t xml:space="preserve">台中洲際BIM建築 </t>
        </is>
      </c>
      <c r="D760" t="inlineStr">
        <is>
          <t>內部</t>
        </is>
      </c>
      <c r="E760" t="inlineStr">
        <is>
          <t>內案</t>
        </is>
      </c>
      <c r="F760" s="3" t="n">
        <v>0</v>
      </c>
      <c r="G760" s="3" t="n">
        <v>0</v>
      </c>
      <c r="H760" s="3" t="n">
        <v>0</v>
      </c>
      <c r="I760" s="3" t="n">
        <v>0</v>
      </c>
      <c r="J760" s="3" t="n">
        <v>0</v>
      </c>
    </row>
    <row r="761">
      <c r="A761" t="inlineStr">
        <is>
          <t>2027/11</t>
        </is>
      </c>
      <c r="B761" t="inlineStr">
        <is>
          <t>C/9240C</t>
        </is>
      </c>
      <c r="C761" t="inlineStr">
        <is>
          <t xml:space="preserve">大直金泰BIM建築 </t>
        </is>
      </c>
      <c r="D761" t="inlineStr">
        <is>
          <t>內部</t>
        </is>
      </c>
      <c r="E761" t="inlineStr">
        <is>
          <t>內案</t>
        </is>
      </c>
      <c r="F761" s="3" t="n">
        <v>0</v>
      </c>
      <c r="G761" s="3" t="n">
        <v>0</v>
      </c>
      <c r="H761" s="3" t="n">
        <v>0</v>
      </c>
      <c r="I761" s="3" t="n">
        <v>0</v>
      </c>
      <c r="J761" s="3" t="n">
        <v>0</v>
      </c>
    </row>
    <row r="762">
      <c r="A762" t="inlineStr">
        <is>
          <t>2027/11</t>
        </is>
      </c>
      <c r="B762" t="inlineStr">
        <is>
          <t>C/9240D</t>
        </is>
      </c>
      <c r="C762" t="inlineStr">
        <is>
          <t xml:space="preserve">板橋新雅BIM建築 </t>
        </is>
      </c>
      <c r="D762" t="inlineStr">
        <is>
          <t>內部</t>
        </is>
      </c>
      <c r="E762" t="inlineStr">
        <is>
          <t>內案</t>
        </is>
      </c>
      <c r="F762" s="3" t="n">
        <v>0</v>
      </c>
      <c r="G762" s="3" t="n">
        <v>0</v>
      </c>
      <c r="H762" s="3" t="n">
        <v>0</v>
      </c>
      <c r="I762" s="3" t="n">
        <v>0</v>
      </c>
      <c r="J762" s="3" t="n">
        <v>0</v>
      </c>
    </row>
    <row r="763">
      <c r="A763" t="inlineStr">
        <is>
          <t>2027/11</t>
        </is>
      </c>
      <c r="B763" t="inlineStr">
        <is>
          <t>C/9240E</t>
        </is>
      </c>
      <c r="C763" t="inlineStr">
        <is>
          <t xml:space="preserve">板橋四維BIM建築 </t>
        </is>
      </c>
      <c r="D763" t="inlineStr">
        <is>
          <t>內部</t>
        </is>
      </c>
      <c r="E763" t="inlineStr">
        <is>
          <t>內案</t>
        </is>
      </c>
      <c r="F763" s="3" t="n">
        <v>0</v>
      </c>
      <c r="G763" s="3" t="n">
        <v>0</v>
      </c>
      <c r="H763" s="3" t="n">
        <v>0</v>
      </c>
      <c r="I763" s="3" t="n">
        <v>0</v>
      </c>
      <c r="J763" s="3" t="n">
        <v>0</v>
      </c>
    </row>
    <row r="764">
      <c r="A764" t="inlineStr">
        <is>
          <t>2027/11</t>
        </is>
      </c>
      <c r="B764" t="inlineStr">
        <is>
          <t>C/9240F</t>
        </is>
      </c>
      <c r="C764" t="inlineStr">
        <is>
          <t>台中新美齊</t>
        </is>
      </c>
      <c r="D764" t="inlineStr">
        <is>
          <t>內部</t>
        </is>
      </c>
      <c r="E764" t="inlineStr">
        <is>
          <t>內案</t>
        </is>
      </c>
      <c r="F764" s="3" t="n">
        <v>0</v>
      </c>
      <c r="G764" s="3" t="n">
        <v>0</v>
      </c>
      <c r="H764" s="3" t="n">
        <v>0</v>
      </c>
      <c r="I764" s="3" t="n">
        <v>0</v>
      </c>
      <c r="J764" s="3" t="n">
        <v>0</v>
      </c>
    </row>
    <row r="765">
      <c r="A765" t="inlineStr">
        <is>
          <t>2027/11</t>
        </is>
      </c>
      <c r="B765" t="inlineStr">
        <is>
          <t>C/9240G</t>
        </is>
      </c>
      <c r="C765" t="inlineStr">
        <is>
          <t>晨禎片片山閑</t>
        </is>
      </c>
      <c r="D765" t="inlineStr">
        <is>
          <t>外部</t>
        </is>
      </c>
      <c r="E765" t="inlineStr">
        <is>
          <t>外案</t>
        </is>
      </c>
      <c r="F765" s="3" t="n">
        <v>0</v>
      </c>
      <c r="G765" s="3" t="n">
        <v>0</v>
      </c>
      <c r="H765" s="3" t="n">
        <v>0</v>
      </c>
      <c r="I765" s="3" t="n">
        <v>0</v>
      </c>
      <c r="J765" s="3" t="n">
        <v>0</v>
      </c>
    </row>
    <row r="766">
      <c r="A766" t="inlineStr">
        <is>
          <t>2027/11</t>
        </is>
      </c>
      <c r="B766" t="inlineStr">
        <is>
          <t>C/9250A</t>
        </is>
      </c>
      <c r="C766" t="inlineStr">
        <is>
          <t>南機二區BIM服務</t>
        </is>
      </c>
      <c r="D766" t="inlineStr">
        <is>
          <t>內部</t>
        </is>
      </c>
      <c r="E766" t="inlineStr">
        <is>
          <t>內案</t>
        </is>
      </c>
      <c r="F766" s="3" t="n">
        <v>353552</v>
      </c>
      <c r="G766" s="3" t="n">
        <v>87805</v>
      </c>
      <c r="H766" s="3" t="n">
        <v>441357</v>
      </c>
      <c r="I766" s="3" t="n">
        <v>0</v>
      </c>
      <c r="J766" s="3" t="n">
        <v>495000</v>
      </c>
    </row>
    <row r="767">
      <c r="A767" t="inlineStr">
        <is>
          <t>2027/11</t>
        </is>
      </c>
      <c r="B767" t="inlineStr">
        <is>
          <t>C/9250B</t>
        </is>
      </c>
      <c r="C767" t="inlineStr">
        <is>
          <t>璞真南港總部</t>
        </is>
      </c>
      <c r="D767" t="inlineStr">
        <is>
          <t>內部</t>
        </is>
      </c>
      <c r="E767" t="inlineStr">
        <is>
          <t>內案</t>
        </is>
      </c>
      <c r="F767" s="3" t="n">
        <v>1924</v>
      </c>
      <c r="G767" s="3" t="n">
        <v>959</v>
      </c>
      <c r="H767" s="3" t="n">
        <v>2883</v>
      </c>
      <c r="I767" s="3" t="n">
        <v>0</v>
      </c>
      <c r="J767" s="3" t="n">
        <v>0</v>
      </c>
    </row>
    <row r="768">
      <c r="A768" t="inlineStr">
        <is>
          <t>2027/11</t>
        </is>
      </c>
      <c r="B768" t="inlineStr">
        <is>
          <t>C/9250C</t>
        </is>
      </c>
      <c r="C768" t="inlineStr">
        <is>
          <t>築源南港</t>
        </is>
      </c>
      <c r="D768" t="inlineStr">
        <is>
          <t>內部</t>
        </is>
      </c>
      <c r="E768" t="inlineStr">
        <is>
          <t>內案</t>
        </is>
      </c>
      <c r="F768" s="3" t="n">
        <v>66161</v>
      </c>
      <c r="G768" s="3" t="n">
        <v>30926</v>
      </c>
      <c r="H768" s="3" t="n">
        <v>97087</v>
      </c>
      <c r="I768" s="3" t="n">
        <v>0</v>
      </c>
      <c r="J768" s="3" t="n">
        <v>0</v>
      </c>
    </row>
    <row r="769">
      <c r="A769" t="inlineStr">
        <is>
          <t>2027/11</t>
        </is>
      </c>
      <c r="B769" t="inlineStr">
        <is>
          <t>C/9250D</t>
        </is>
      </c>
      <c r="C769" t="inlineStr">
        <is>
          <t>南港三重</t>
        </is>
      </c>
      <c r="D769" t="inlineStr">
        <is>
          <t>內部</t>
        </is>
      </c>
      <c r="E769" t="inlineStr">
        <is>
          <t>內案</t>
        </is>
      </c>
      <c r="F769" s="3" t="n">
        <v>21658</v>
      </c>
      <c r="G769" s="3" t="n">
        <v>9871</v>
      </c>
      <c r="H769" s="3" t="n">
        <v>31529</v>
      </c>
      <c r="I769" s="3" t="n">
        <v>0</v>
      </c>
      <c r="J769" s="3" t="n">
        <v>0</v>
      </c>
    </row>
    <row r="770">
      <c r="A770" t="inlineStr">
        <is>
          <t>2027/11</t>
        </is>
      </c>
      <c r="B770" t="inlineStr">
        <is>
          <t>C/9260A</t>
        </is>
      </c>
      <c r="C770" t="inlineStr">
        <is>
          <t>台中楓溪</t>
        </is>
      </c>
      <c r="D770" t="inlineStr">
        <is>
          <t>內部</t>
        </is>
      </c>
      <c r="E770" t="inlineStr">
        <is>
          <t>內案</t>
        </is>
      </c>
      <c r="F770" s="3" t="n">
        <v>1154</v>
      </c>
      <c r="G770" s="3" t="n">
        <v>525</v>
      </c>
      <c r="H770" s="3" t="n">
        <v>1679</v>
      </c>
      <c r="I770" s="3" t="n">
        <v>0</v>
      </c>
      <c r="J770" s="3" t="n">
        <v>0</v>
      </c>
    </row>
    <row r="771">
      <c r="A771" t="inlineStr">
        <is>
          <t>2027/11</t>
        </is>
      </c>
      <c r="B771" t="inlineStr">
        <is>
          <t>C/9260B</t>
        </is>
      </c>
      <c r="C771" t="inlineStr">
        <is>
          <t>樺輝永鑄</t>
        </is>
      </c>
      <c r="D771" t="inlineStr">
        <is>
          <t>內部</t>
        </is>
      </c>
      <c r="E771" t="inlineStr">
        <is>
          <t>內案</t>
        </is>
      </c>
      <c r="F771" s="3" t="n">
        <v>120690</v>
      </c>
      <c r="G771" s="3" t="n">
        <v>23530</v>
      </c>
      <c r="H771" s="3" t="n">
        <v>144220</v>
      </c>
      <c r="I771" s="3" t="n">
        <v>0</v>
      </c>
      <c r="J771" s="3" t="n">
        <v>240000</v>
      </c>
    </row>
    <row r="772">
      <c r="A772" t="inlineStr">
        <is>
          <t>2027/11</t>
        </is>
      </c>
      <c r="B772" t="inlineStr">
        <is>
          <t>C/9260C</t>
        </is>
      </c>
      <c r="C772" t="inlineStr">
        <is>
          <t>中華郵政信維</t>
        </is>
      </c>
      <c r="D772" t="inlineStr">
        <is>
          <t>內部</t>
        </is>
      </c>
      <c r="E772" t="inlineStr">
        <is>
          <t>內案</t>
        </is>
      </c>
      <c r="F772" s="3" t="n">
        <v>121460</v>
      </c>
      <c r="G772" s="3" t="n">
        <v>52469</v>
      </c>
      <c r="H772" s="3" t="n">
        <v>173929</v>
      </c>
      <c r="I772" s="3" t="n">
        <v>0</v>
      </c>
      <c r="J772" s="3" t="n">
        <v>262500</v>
      </c>
    </row>
    <row r="773">
      <c r="A773" t="inlineStr">
        <is>
          <t>2027/11</t>
        </is>
      </c>
      <c r="B773" t="inlineStr">
        <is>
          <t>C/9260D</t>
        </is>
      </c>
      <c r="C773" t="inlineStr">
        <is>
          <t>大安復興</t>
        </is>
      </c>
      <c r="D773" t="inlineStr">
        <is>
          <t>內部</t>
        </is>
      </c>
      <c r="E773" t="inlineStr">
        <is>
          <t>內案</t>
        </is>
      </c>
      <c r="F773" s="3" t="n">
        <v>0</v>
      </c>
      <c r="G773" s="3" t="n">
        <v>0</v>
      </c>
      <c r="H773" s="3" t="n">
        <v>0</v>
      </c>
      <c r="I773" s="3" t="n">
        <v>0</v>
      </c>
      <c r="J773" s="3" t="n">
        <v>85000</v>
      </c>
    </row>
    <row r="774">
      <c r="A774" t="inlineStr">
        <is>
          <t>2027/11</t>
        </is>
      </c>
      <c r="B774" t="inlineStr">
        <is>
          <t>C/9100B_26</t>
        </is>
      </c>
      <c r="C774" t="inlineStr">
        <is>
          <t>新取得BIM建築-26年</t>
        </is>
      </c>
      <c r="D774" t="inlineStr">
        <is>
          <t>內部</t>
        </is>
      </c>
      <c r="E774" t="inlineStr">
        <is>
          <t>內案</t>
        </is>
      </c>
      <c r="F774" s="3" t="n">
        <v>0</v>
      </c>
      <c r="G774" s="3" t="n">
        <v>0</v>
      </c>
      <c r="H774" s="3" t="n">
        <v>0</v>
      </c>
      <c r="I774" s="3" t="n">
        <v>0</v>
      </c>
      <c r="J774" s="3" t="n">
        <v>0</v>
      </c>
    </row>
    <row r="775">
      <c r="A775" t="inlineStr">
        <is>
          <t>2027/11</t>
        </is>
      </c>
      <c r="B775" t="inlineStr">
        <is>
          <t>C/9100A_27</t>
        </is>
      </c>
      <c r="C775" t="inlineStr">
        <is>
          <t>新取得BIM建築-26年</t>
        </is>
      </c>
      <c r="D775" t="inlineStr">
        <is>
          <t>內部</t>
        </is>
      </c>
      <c r="E775" t="inlineStr">
        <is>
          <t>內案</t>
        </is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0</v>
      </c>
    </row>
    <row r="776">
      <c r="A776" t="inlineStr">
        <is>
          <t>2027/11</t>
        </is>
      </c>
      <c r="B776" t="inlineStr">
        <is>
          <t>C/9100B_27</t>
        </is>
      </c>
      <c r="C776" t="inlineStr">
        <is>
          <t>新取得BIM建築-27年</t>
        </is>
      </c>
      <c r="D776" t="inlineStr">
        <is>
          <t>內部</t>
        </is>
      </c>
      <c r="E776" t="inlineStr">
        <is>
          <t>內案</t>
        </is>
      </c>
      <c r="F776" s="3" t="n">
        <v>1079677</v>
      </c>
      <c r="G776" s="3" t="n">
        <v>408672</v>
      </c>
      <c r="H776" s="3" t="n">
        <v>1488349</v>
      </c>
      <c r="I776" s="3" t="n">
        <v>0</v>
      </c>
      <c r="J776" s="3" t="n">
        <v>1575000</v>
      </c>
    </row>
    <row r="777">
      <c r="A777" t="inlineStr">
        <is>
          <t>2027/11</t>
        </is>
      </c>
      <c r="B777" t="inlineStr">
        <is>
          <t>C/9100C_27</t>
        </is>
      </c>
      <c r="C777" t="inlineStr">
        <is>
          <t>新取得BIM建築-28年</t>
        </is>
      </c>
      <c r="D777" t="inlineStr">
        <is>
          <t>內部</t>
        </is>
      </c>
      <c r="E777" t="inlineStr">
        <is>
          <t>內案</t>
        </is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0</v>
      </c>
    </row>
    <row r="778">
      <c r="A778" t="inlineStr">
        <is>
          <t>2027/11</t>
        </is>
      </c>
      <c r="B778" t="inlineStr">
        <is>
          <t>C/9100D_27</t>
        </is>
      </c>
      <c r="C778" t="inlineStr">
        <is>
          <t>新取得BIM建築-29年</t>
        </is>
      </c>
      <c r="D778" t="inlineStr">
        <is>
          <t>內部</t>
        </is>
      </c>
      <c r="E778" t="inlineStr">
        <is>
          <t>內案</t>
        </is>
      </c>
      <c r="F778" s="3" t="n">
        <v>0</v>
      </c>
      <c r="G778" s="3" t="n">
        <v>0</v>
      </c>
      <c r="H778" s="3" t="n">
        <v>0</v>
      </c>
      <c r="I778" s="3" t="n">
        <v>0</v>
      </c>
      <c r="J778" s="3" t="n">
        <v>0</v>
      </c>
    </row>
    <row r="779">
      <c r="A779" t="inlineStr">
        <is>
          <t>2027/11</t>
        </is>
      </c>
      <c r="B779" t="inlineStr">
        <is>
          <t>C/9100E_27</t>
        </is>
      </c>
      <c r="C779" t="inlineStr">
        <is>
          <t>新取得BIM建築-30年</t>
        </is>
      </c>
      <c r="D779" t="inlineStr">
        <is>
          <t>內部</t>
        </is>
      </c>
      <c r="E779" t="inlineStr">
        <is>
          <t>內案</t>
        </is>
      </c>
      <c r="F779" s="3" t="n">
        <v>0</v>
      </c>
      <c r="G779" s="3" t="n">
        <v>0</v>
      </c>
      <c r="H779" s="3" t="n">
        <v>0</v>
      </c>
      <c r="I779" s="3" t="n">
        <v>0</v>
      </c>
      <c r="J779" s="3" t="n">
        <v>0</v>
      </c>
    </row>
    <row r="780">
      <c r="A780" t="inlineStr">
        <is>
          <t>2027/11</t>
        </is>
      </c>
      <c r="B780" t="inlineStr">
        <is>
          <t>C/9100F_27</t>
        </is>
      </c>
      <c r="C780" t="inlineStr">
        <is>
          <t>新取得BIM建築-31年</t>
        </is>
      </c>
      <c r="D780" t="inlineStr">
        <is>
          <t>內部</t>
        </is>
      </c>
      <c r="E780" t="inlineStr">
        <is>
          <t>內案</t>
        </is>
      </c>
      <c r="F780" s="3" t="n">
        <v>0</v>
      </c>
      <c r="G780" s="3" t="n">
        <v>0</v>
      </c>
      <c r="H780" s="3" t="n">
        <v>0</v>
      </c>
      <c r="I780" s="3" t="n">
        <v>0</v>
      </c>
      <c r="J780" s="3" t="n">
        <v>0</v>
      </c>
    </row>
    <row r="781">
      <c r="A781" t="inlineStr">
        <is>
          <t>2027/11</t>
        </is>
      </c>
      <c r="B781" t="inlineStr">
        <is>
          <t>C/99992</t>
        </is>
      </c>
      <c r="C781" t="inlineStr">
        <is>
          <t>雜項BIM土木機電</t>
        </is>
      </c>
      <c r="D781" t="inlineStr">
        <is>
          <t>內/無</t>
        </is>
      </c>
      <c r="E781" t="inlineStr">
        <is>
          <t>雜項</t>
        </is>
      </c>
      <c r="F781" s="3" t="n">
        <v>23824</v>
      </c>
      <c r="G781" s="3" t="n">
        <v>5676</v>
      </c>
      <c r="H781" s="3" t="n">
        <v>29500</v>
      </c>
      <c r="I781" s="3" t="n">
        <v>0</v>
      </c>
      <c r="J781" s="3" t="n">
        <v>29500</v>
      </c>
    </row>
    <row r="782">
      <c r="A782" t="inlineStr">
        <is>
          <t>2027/11</t>
        </is>
      </c>
      <c r="B782" t="inlineStr">
        <is>
          <t>C/99992-1</t>
        </is>
      </c>
      <c r="C782" t="inlineStr">
        <is>
          <t>雜項BIM土木機電(外案收入)</t>
        </is>
      </c>
      <c r="D782" t="inlineStr">
        <is>
          <t>外部</t>
        </is>
      </c>
      <c r="E782" t="inlineStr">
        <is>
          <t>外案</t>
        </is>
      </c>
      <c r="F782" s="3" t="n">
        <v>0</v>
      </c>
      <c r="G782" s="3" t="n">
        <v>0</v>
      </c>
      <c r="H782" s="3" t="n">
        <v>0</v>
      </c>
      <c r="I782" s="3" t="n">
        <v>0</v>
      </c>
      <c r="J782" s="3" t="n">
        <v>0</v>
      </c>
    </row>
    <row r="783">
      <c r="A783" t="inlineStr">
        <is>
          <t>2027/11</t>
        </is>
      </c>
      <c r="B783" t="inlineStr">
        <is>
          <t>C/99993</t>
        </is>
      </c>
      <c r="C783" t="inlineStr">
        <is>
          <t>備標BIM土木機電</t>
        </is>
      </c>
      <c r="D783" t="inlineStr">
        <is>
          <t>備標</t>
        </is>
      </c>
      <c r="E783" t="inlineStr">
        <is>
          <t>備標</t>
        </is>
      </c>
      <c r="F783" s="3" t="n">
        <v>59561</v>
      </c>
      <c r="G783" s="3" t="n">
        <v>-59561</v>
      </c>
      <c r="H783" s="3" t="n">
        <v>0</v>
      </c>
      <c r="I783" s="3" t="n">
        <v>0</v>
      </c>
      <c r="J783" s="3" t="n">
        <v>0</v>
      </c>
    </row>
    <row r="784">
      <c r="A784" t="inlineStr">
        <is>
          <t>2027/11</t>
        </is>
      </c>
      <c r="B784" t="inlineStr">
        <is>
          <t>C/9999B</t>
        </is>
      </c>
      <c r="C784" t="inlineStr">
        <is>
          <t>雜項BIM建築</t>
        </is>
      </c>
      <c r="D784" t="inlineStr">
        <is>
          <t>內/無</t>
        </is>
      </c>
      <c r="E784" t="inlineStr">
        <is>
          <t>雜項</t>
        </is>
      </c>
      <c r="F784" s="3" t="n">
        <v>0</v>
      </c>
      <c r="G784" s="3" t="n">
        <v>0</v>
      </c>
      <c r="H784" s="3" t="n">
        <v>0</v>
      </c>
      <c r="I784" s="3" t="n">
        <v>0</v>
      </c>
      <c r="J784" s="3" t="n">
        <v>0</v>
      </c>
    </row>
    <row r="785">
      <c r="A785" t="inlineStr">
        <is>
          <t>2027/11</t>
        </is>
      </c>
      <c r="B785" t="inlineStr">
        <is>
          <t>C/9999D</t>
        </is>
      </c>
      <c r="C785" t="inlineStr">
        <is>
          <t>備標BIM建築</t>
        </is>
      </c>
      <c r="D785" t="inlineStr">
        <is>
          <t>備標</t>
        </is>
      </c>
      <c r="E785" t="inlineStr">
        <is>
          <t>備標</t>
        </is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0</v>
      </c>
    </row>
    <row r="786">
      <c r="A786" t="inlineStr">
        <is>
          <t>2027/12</t>
        </is>
      </c>
      <c r="B786" t="inlineStr">
        <is>
          <t>C/92103</t>
        </is>
      </c>
      <c r="C786" t="inlineStr">
        <is>
          <t>CQ840 BIM</t>
        </is>
      </c>
      <c r="D786" t="inlineStr">
        <is>
          <t>內部</t>
        </is>
      </c>
      <c r="E786" t="inlineStr">
        <is>
          <t>內案</t>
        </is>
      </c>
      <c r="F786" s="3" t="n">
        <v>122695</v>
      </c>
      <c r="G786" s="3" t="n">
        <v>-20861</v>
      </c>
      <c r="H786" s="3" t="n">
        <v>101834</v>
      </c>
      <c r="I786" s="3" t="n">
        <v>20861</v>
      </c>
      <c r="J786" s="3" t="n">
        <v>0</v>
      </c>
    </row>
    <row r="787">
      <c r="A787" t="inlineStr">
        <is>
          <t>2027/12</t>
        </is>
      </c>
      <c r="B787" t="inlineStr">
        <is>
          <t>C/92202</t>
        </is>
      </c>
      <c r="C787" t="inlineStr">
        <is>
          <t>CF680C BIM</t>
        </is>
      </c>
      <c r="D787" t="inlineStr">
        <is>
          <t>內部</t>
        </is>
      </c>
      <c r="E787" t="inlineStr">
        <is>
          <t>內案</t>
        </is>
      </c>
      <c r="F787" s="3" t="n">
        <v>46133</v>
      </c>
      <c r="G787" s="3" t="n">
        <v>22184</v>
      </c>
      <c r="H787" s="3" t="n">
        <v>68317</v>
      </c>
      <c r="I787" s="3" t="n">
        <v>0</v>
      </c>
      <c r="J787" s="3" t="n">
        <v>345000</v>
      </c>
    </row>
    <row r="788">
      <c r="A788" t="inlineStr">
        <is>
          <t>2027/12</t>
        </is>
      </c>
      <c r="B788" t="inlineStr">
        <is>
          <t>C/92203</t>
        </is>
      </c>
      <c r="C788" t="inlineStr">
        <is>
          <t>N－WH BIM</t>
        </is>
      </c>
      <c r="D788" t="inlineStr">
        <is>
          <t>內部</t>
        </is>
      </c>
      <c r="E788" t="inlineStr">
        <is>
          <t>內案</t>
        </is>
      </c>
      <c r="F788" s="3" t="n">
        <v>81943</v>
      </c>
      <c r="G788" s="3" t="n">
        <v>28316</v>
      </c>
      <c r="H788" s="3" t="n">
        <v>110259</v>
      </c>
      <c r="I788" s="3" t="n">
        <v>0</v>
      </c>
      <c r="J788" s="3" t="n">
        <v>75000</v>
      </c>
    </row>
    <row r="789">
      <c r="A789" t="inlineStr">
        <is>
          <t>2027/12</t>
        </is>
      </c>
      <c r="B789" t="inlineStr">
        <is>
          <t>C/92204</t>
        </is>
      </c>
      <c r="C789" t="inlineStr">
        <is>
          <t>國揚吉林機電</t>
        </is>
      </c>
      <c r="D789" t="inlineStr">
        <is>
          <t>內部</t>
        </is>
      </c>
      <c r="E789" t="inlineStr">
        <is>
          <t>內案</t>
        </is>
      </c>
      <c r="F789" s="3" t="n">
        <v>0</v>
      </c>
      <c r="G789" s="3" t="n">
        <v>0</v>
      </c>
      <c r="H789" s="3" t="n">
        <v>0</v>
      </c>
      <c r="I789" s="3" t="n">
        <v>0</v>
      </c>
      <c r="J789" s="3" t="n">
        <v>0</v>
      </c>
    </row>
    <row r="790">
      <c r="A790" t="inlineStr">
        <is>
          <t>2027/12</t>
        </is>
      </c>
      <c r="B790" t="inlineStr">
        <is>
          <t>C/92301</t>
        </is>
      </c>
      <c r="C790" t="inlineStr">
        <is>
          <t>CF670A BIM 土木機電</t>
        </is>
      </c>
      <c r="D790" t="inlineStr">
        <is>
          <t>內部</t>
        </is>
      </c>
      <c r="E790" t="inlineStr">
        <is>
          <t>內案</t>
        </is>
      </c>
      <c r="F790" s="3" t="n">
        <v>62810</v>
      </c>
      <c r="G790" s="3" t="n">
        <v>7214</v>
      </c>
      <c r="H790" s="3" t="n">
        <v>70024</v>
      </c>
      <c r="I790" s="3" t="n">
        <v>0</v>
      </c>
      <c r="J790" s="3" t="n">
        <v>30000</v>
      </c>
    </row>
    <row r="791">
      <c r="A791" t="inlineStr">
        <is>
          <t>2027/12</t>
        </is>
      </c>
      <c r="B791" t="inlineStr">
        <is>
          <t>C/92302</t>
        </is>
      </c>
      <c r="C791" t="inlineStr">
        <is>
          <t>富邦忠孝懷生BIM機電</t>
        </is>
      </c>
      <c r="D791" t="inlineStr">
        <is>
          <t>內部</t>
        </is>
      </c>
      <c r="E791" t="inlineStr">
        <is>
          <t>內案</t>
        </is>
      </c>
      <c r="F791" s="3" t="n">
        <v>219000</v>
      </c>
      <c r="G791" s="3" t="n">
        <v>-9357</v>
      </c>
      <c r="H791" s="3" t="n">
        <v>209643</v>
      </c>
      <c r="I791" s="3" t="n">
        <v>9357</v>
      </c>
      <c r="J791" s="3" t="n">
        <v>0</v>
      </c>
    </row>
    <row r="792">
      <c r="A792" t="inlineStr">
        <is>
          <t>2027/12</t>
        </is>
      </c>
      <c r="B792" t="inlineStr">
        <is>
          <t>C/92303</t>
        </is>
      </c>
      <c r="C792" t="inlineStr">
        <is>
          <t>信義兒福BIM機電</t>
        </is>
      </c>
      <c r="D792" t="inlineStr">
        <is>
          <t>外部</t>
        </is>
      </c>
      <c r="E792" t="inlineStr">
        <is>
          <t>外案</t>
        </is>
      </c>
      <c r="F792" s="3" t="n">
        <v>79310</v>
      </c>
      <c r="G792" s="3" t="n">
        <v>19175</v>
      </c>
      <c r="H792" s="3" t="n">
        <v>98485</v>
      </c>
      <c r="I792" s="3" t="n">
        <v>0</v>
      </c>
      <c r="J792" s="3" t="n">
        <v>694000</v>
      </c>
    </row>
    <row r="793">
      <c r="A793" t="inlineStr">
        <is>
          <t>2027/12</t>
        </is>
      </c>
      <c r="B793" t="inlineStr">
        <is>
          <t>C/92304</t>
        </is>
      </c>
      <c r="C793" t="inlineStr">
        <is>
          <t>捷運劍潭站TOD統包BIM機電</t>
        </is>
      </c>
      <c r="D793" t="inlineStr">
        <is>
          <t>內部</t>
        </is>
      </c>
      <c r="E793" t="inlineStr">
        <is>
          <t>內案</t>
        </is>
      </c>
      <c r="F793" s="3" t="n">
        <v>821121</v>
      </c>
      <c r="G793" s="3" t="n">
        <v>88466</v>
      </c>
      <c r="H793" s="3" t="n">
        <v>909587</v>
      </c>
      <c r="I793" s="3" t="n">
        <v>0</v>
      </c>
      <c r="J793" s="3" t="n">
        <v>415000</v>
      </c>
    </row>
    <row r="794">
      <c r="A794" t="inlineStr">
        <is>
          <t>2027/12</t>
        </is>
      </c>
      <c r="B794" t="inlineStr">
        <is>
          <t>C/92401</t>
        </is>
      </c>
      <c r="C794" t="inlineStr">
        <is>
          <t>CJ17 土木機電</t>
        </is>
      </c>
      <c r="D794" t="inlineStr">
        <is>
          <t>內部</t>
        </is>
      </c>
      <c r="E794" t="inlineStr">
        <is>
          <t>內案</t>
        </is>
      </c>
      <c r="F794" s="3" t="n">
        <v>200270</v>
      </c>
      <c r="G794" s="3" t="n">
        <v>96958</v>
      </c>
      <c r="H794" s="3" t="n">
        <v>297228</v>
      </c>
      <c r="I794" s="3" t="n">
        <v>0</v>
      </c>
      <c r="J794" s="3" t="n">
        <v>431652</v>
      </c>
    </row>
    <row r="795">
      <c r="A795" t="inlineStr">
        <is>
          <t>2027/12</t>
        </is>
      </c>
      <c r="B795" t="inlineStr">
        <is>
          <t>C/92501</t>
        </is>
      </c>
      <c r="C795" t="inlineStr">
        <is>
          <t>CF670 BIM土木機電</t>
        </is>
      </c>
      <c r="D795" t="inlineStr">
        <is>
          <t>內部</t>
        </is>
      </c>
      <c r="E795" t="inlineStr">
        <is>
          <t>內案</t>
        </is>
      </c>
      <c r="F795" s="3" t="n">
        <v>169768</v>
      </c>
      <c r="G795" s="3" t="n">
        <v>81071</v>
      </c>
      <c r="H795" s="3" t="n">
        <v>250839</v>
      </c>
      <c r="I795" s="3" t="n">
        <v>0</v>
      </c>
      <c r="J795" s="3" t="n">
        <v>920000</v>
      </c>
    </row>
    <row r="796">
      <c r="A796" t="inlineStr">
        <is>
          <t>2027/12</t>
        </is>
      </c>
      <c r="B796" t="inlineStr">
        <is>
          <t>C/92502</t>
        </is>
      </c>
      <c r="C796" t="inlineStr">
        <is>
          <t>擎邦-聯發科機電</t>
        </is>
      </c>
      <c r="D796" t="inlineStr">
        <is>
          <t>外部</t>
        </is>
      </c>
      <c r="E796" t="inlineStr">
        <is>
          <t>外案</t>
        </is>
      </c>
      <c r="F796" s="3" t="n">
        <v>450000</v>
      </c>
      <c r="G796" s="3" t="n">
        <v>349942</v>
      </c>
      <c r="H796" s="3" t="n">
        <v>799942</v>
      </c>
      <c r="I796" s="3" t="n">
        <v>0</v>
      </c>
      <c r="J796" s="3" t="n">
        <v>810000</v>
      </c>
    </row>
    <row r="797">
      <c r="A797" t="inlineStr">
        <is>
          <t>2027/12</t>
        </is>
      </c>
      <c r="B797" t="inlineStr">
        <is>
          <t>C/92503</t>
        </is>
      </c>
      <c r="C797" t="inlineStr">
        <is>
          <t>CF690B BIM土木</t>
        </is>
      </c>
      <c r="D797" t="inlineStr">
        <is>
          <t>外部</t>
        </is>
      </c>
      <c r="E797" t="inlineStr">
        <is>
          <t>外案</t>
        </is>
      </c>
      <c r="F797" s="3" t="n">
        <v>59236</v>
      </c>
      <c r="G797" s="3" t="n">
        <v>24700</v>
      </c>
      <c r="H797" s="3" t="n">
        <v>83936</v>
      </c>
      <c r="I797" s="3" t="n">
        <v>0</v>
      </c>
      <c r="J797" s="3" t="n">
        <v>117600</v>
      </c>
    </row>
    <row r="798">
      <c r="A798" t="inlineStr">
        <is>
          <t>2027/12</t>
        </is>
      </c>
      <c r="B798" t="inlineStr">
        <is>
          <t>C/92504</t>
        </is>
      </c>
      <c r="C798" t="inlineStr">
        <is>
          <t>擎邦-員榮總醫院BIM</t>
        </is>
      </c>
      <c r="D798" t="inlineStr">
        <is>
          <t>外部</t>
        </is>
      </c>
      <c r="E798" t="inlineStr">
        <is>
          <t>外案</t>
        </is>
      </c>
      <c r="F798" s="3" t="n">
        <v>2870000</v>
      </c>
      <c r="G798" s="3" t="n">
        <v>1408932</v>
      </c>
      <c r="H798" s="3" t="n">
        <v>4278932</v>
      </c>
      <c r="I798" s="3" t="n">
        <v>0</v>
      </c>
      <c r="J798" s="3" t="n">
        <v>1880000</v>
      </c>
    </row>
    <row r="799">
      <c r="A799" t="inlineStr">
        <is>
          <t>2027/12</t>
        </is>
      </c>
      <c r="B799" t="inlineStr">
        <is>
          <t>C/92601</t>
        </is>
      </c>
      <c r="C799" t="inlineStr">
        <is>
          <t>擎邦-聯發科銅鑼</t>
        </is>
      </c>
      <c r="D799" t="inlineStr">
        <is>
          <t>外部</t>
        </is>
      </c>
      <c r="E799" t="inlineStr">
        <is>
          <t>外案</t>
        </is>
      </c>
      <c r="F799" s="3" t="n">
        <v>0</v>
      </c>
      <c r="G799" s="3" t="n">
        <v>0</v>
      </c>
      <c r="H799" s="3" t="n">
        <v>0</v>
      </c>
      <c r="I799" s="3" t="n">
        <v>0</v>
      </c>
      <c r="J799" s="3" t="n">
        <v>0</v>
      </c>
    </row>
    <row r="800">
      <c r="A800" t="inlineStr">
        <is>
          <t>2027/12</t>
        </is>
      </c>
      <c r="B800" t="inlineStr">
        <is>
          <t>C/92602</t>
        </is>
      </c>
      <c r="C800" t="inlineStr">
        <is>
          <t>擎邦-CF624F機電(CF690B機電)</t>
        </is>
      </c>
      <c r="D800" t="inlineStr">
        <is>
          <t>外部</t>
        </is>
      </c>
      <c r="E800" t="inlineStr">
        <is>
          <t>外案</t>
        </is>
      </c>
      <c r="F800" s="3" t="n">
        <v>268242</v>
      </c>
      <c r="G800" s="3" t="n">
        <v>125165</v>
      </c>
      <c r="H800" s="3" t="n">
        <v>393407</v>
      </c>
      <c r="I800" s="3" t="n">
        <v>0</v>
      </c>
      <c r="J800" s="3" t="n">
        <v>1500000</v>
      </c>
    </row>
    <row r="801">
      <c r="A801" t="inlineStr">
        <is>
          <t>2027/12</t>
        </is>
      </c>
      <c r="B801" t="inlineStr">
        <is>
          <t>C/92603</t>
        </is>
      </c>
      <c r="C801" t="inlineStr">
        <is>
          <t>中華郵政信維機電</t>
        </is>
      </c>
      <c r="D801" t="inlineStr">
        <is>
          <t>內部</t>
        </is>
      </c>
      <c r="E801" t="inlineStr">
        <is>
          <t>內案</t>
        </is>
      </c>
      <c r="F801" s="3" t="n">
        <v>149121</v>
      </c>
      <c r="G801" s="3" t="n">
        <v>73213</v>
      </c>
      <c r="H801" s="3" t="n">
        <v>222334</v>
      </c>
      <c r="I801" s="3" t="n">
        <v>0</v>
      </c>
      <c r="J801" s="3" t="n">
        <v>392000</v>
      </c>
    </row>
    <row r="802">
      <c r="A802" t="inlineStr">
        <is>
          <t>2027/12</t>
        </is>
      </c>
      <c r="B802" t="inlineStr">
        <is>
          <t>C/91001_26</t>
        </is>
      </c>
      <c r="C802" t="inlineStr">
        <is>
          <t>新取得BIM土木機電-26年</t>
        </is>
      </c>
      <c r="D802" t="inlineStr">
        <is>
          <t>內部</t>
        </is>
      </c>
      <c r="E802" t="inlineStr">
        <is>
          <t>內案</t>
        </is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0</v>
      </c>
    </row>
    <row r="803">
      <c r="A803" t="inlineStr">
        <is>
          <t>2027/12</t>
        </is>
      </c>
      <c r="B803" t="inlineStr">
        <is>
          <t>C/91000_27</t>
        </is>
      </c>
      <c r="C803" t="inlineStr">
        <is>
          <t>新取得BIM土木機電-26年</t>
        </is>
      </c>
      <c r="D803" t="inlineStr">
        <is>
          <t>內部</t>
        </is>
      </c>
      <c r="E803" t="inlineStr">
        <is>
          <t>內案</t>
        </is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0</v>
      </c>
    </row>
    <row r="804">
      <c r="A804" t="inlineStr">
        <is>
          <t>2027/12</t>
        </is>
      </c>
      <c r="B804" t="inlineStr">
        <is>
          <t>C/91001_27</t>
        </is>
      </c>
      <c r="C804" t="inlineStr">
        <is>
          <t>新取得BIM土木機電-27年</t>
        </is>
      </c>
      <c r="D804" t="inlineStr">
        <is>
          <t>內部</t>
        </is>
      </c>
      <c r="E804" t="inlineStr">
        <is>
          <t>內案</t>
        </is>
      </c>
      <c r="F804" s="3" t="n">
        <v>714726</v>
      </c>
      <c r="G804" s="3" t="n">
        <v>357871</v>
      </c>
      <c r="H804" s="3" t="n">
        <v>1072597</v>
      </c>
      <c r="I804" s="3" t="n">
        <v>0</v>
      </c>
      <c r="J804" s="3" t="n">
        <v>958000</v>
      </c>
    </row>
    <row r="805">
      <c r="A805" t="inlineStr">
        <is>
          <t>2027/12</t>
        </is>
      </c>
      <c r="B805" t="inlineStr">
        <is>
          <t>C/91002_27</t>
        </is>
      </c>
      <c r="C805" t="inlineStr">
        <is>
          <t>新取得BIM土木機電-28年</t>
        </is>
      </c>
      <c r="D805" t="inlineStr">
        <is>
          <t>內部</t>
        </is>
      </c>
      <c r="E805" t="inlineStr">
        <is>
          <t>內案</t>
        </is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0</v>
      </c>
    </row>
    <row r="806">
      <c r="A806" t="inlineStr">
        <is>
          <t>2027/12</t>
        </is>
      </c>
      <c r="B806" t="inlineStr">
        <is>
          <t>C/91003_27</t>
        </is>
      </c>
      <c r="C806" t="inlineStr">
        <is>
          <t>新取得BIM土木機電-29年</t>
        </is>
      </c>
      <c r="D806" t="inlineStr">
        <is>
          <t>內部</t>
        </is>
      </c>
      <c r="E806" t="inlineStr">
        <is>
          <t>內案</t>
        </is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</row>
    <row r="807">
      <c r="A807" t="inlineStr">
        <is>
          <t>2027/12</t>
        </is>
      </c>
      <c r="B807" t="inlineStr">
        <is>
          <t>C/91004_27</t>
        </is>
      </c>
      <c r="C807" t="inlineStr">
        <is>
          <t>新取得BIM土木機電-30年</t>
        </is>
      </c>
      <c r="D807" t="inlineStr">
        <is>
          <t>內部</t>
        </is>
      </c>
      <c r="E807" t="inlineStr">
        <is>
          <t>內案</t>
        </is>
      </c>
      <c r="F807" s="3" t="n">
        <v>0</v>
      </c>
      <c r="G807" s="3" t="n">
        <v>0</v>
      </c>
      <c r="H807" s="3" t="n">
        <v>0</v>
      </c>
      <c r="I807" s="3" t="n">
        <v>0</v>
      </c>
      <c r="J807" s="3" t="n">
        <v>0</v>
      </c>
    </row>
    <row r="808">
      <c r="A808" t="inlineStr">
        <is>
          <t>2027/12</t>
        </is>
      </c>
      <c r="B808" t="inlineStr">
        <is>
          <t>C/91005_27</t>
        </is>
      </c>
      <c r="C808" t="inlineStr">
        <is>
          <t>新取得BIM土木機電-31年</t>
        </is>
      </c>
      <c r="D808" t="inlineStr">
        <is>
          <t>內部</t>
        </is>
      </c>
      <c r="E808" t="inlineStr">
        <is>
          <t>內案</t>
        </is>
      </c>
      <c r="F808" s="3" t="n">
        <v>0</v>
      </c>
      <c r="G808" s="3" t="n">
        <v>0</v>
      </c>
      <c r="H808" s="3" t="n">
        <v>0</v>
      </c>
      <c r="I808" s="3" t="n">
        <v>0</v>
      </c>
      <c r="J808" s="3" t="n">
        <v>0</v>
      </c>
    </row>
    <row r="809">
      <c r="A809" t="inlineStr">
        <is>
          <t>2027/12</t>
        </is>
      </c>
      <c r="B809" t="inlineStr">
        <is>
          <t>C/9210F</t>
        </is>
      </c>
      <c r="C809" t="inlineStr">
        <is>
          <t>南港機廠BIM建築</t>
        </is>
      </c>
      <c r="D809" t="inlineStr">
        <is>
          <t>外部</t>
        </is>
      </c>
      <c r="E809" t="inlineStr">
        <is>
          <t>外案</t>
        </is>
      </c>
      <c r="F809" s="3" t="n">
        <v>0</v>
      </c>
      <c r="G809" s="3" t="n">
        <v>0</v>
      </c>
      <c r="H809" s="3" t="n">
        <v>0</v>
      </c>
      <c r="I809" s="3" t="n">
        <v>0</v>
      </c>
      <c r="J809" s="3" t="n">
        <v>0</v>
      </c>
    </row>
    <row r="810">
      <c r="A810" t="inlineStr">
        <is>
          <t>2027/12</t>
        </is>
      </c>
      <c r="B810" t="inlineStr">
        <is>
          <t>C/9210G</t>
        </is>
      </c>
      <c r="C810" t="inlineStr">
        <is>
          <t>富邦忠孝懷生BIM建築</t>
        </is>
      </c>
      <c r="D810" t="inlineStr">
        <is>
          <t>內部</t>
        </is>
      </c>
      <c r="E810" t="inlineStr">
        <is>
          <t>內案</t>
        </is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0</v>
      </c>
    </row>
    <row r="811">
      <c r="A811" t="inlineStr">
        <is>
          <t>2027/12</t>
        </is>
      </c>
      <c r="B811" t="inlineStr">
        <is>
          <t>C/9220E</t>
        </is>
      </c>
      <c r="C811" t="inlineStr">
        <is>
          <t>柏鴻北士科 C/9100A-22A</t>
        </is>
      </c>
      <c r="D811" t="inlineStr">
        <is>
          <t>內部</t>
        </is>
      </c>
      <c r="E811" t="inlineStr">
        <is>
          <t>內案</t>
        </is>
      </c>
      <c r="F811" s="3" t="n">
        <v>0</v>
      </c>
      <c r="G811" s="3" t="n">
        <v>0</v>
      </c>
      <c r="H811" s="3" t="n">
        <v>0</v>
      </c>
      <c r="I811" s="3" t="n">
        <v>0</v>
      </c>
      <c r="J811" s="3" t="n">
        <v>0</v>
      </c>
    </row>
    <row r="812">
      <c r="A812" t="inlineStr">
        <is>
          <t>2027/12</t>
        </is>
      </c>
      <c r="B812" t="inlineStr">
        <is>
          <t>C/9230A</t>
        </is>
      </c>
      <c r="C812" t="inlineStr">
        <is>
          <t>信義兒福BIM建築</t>
        </is>
      </c>
      <c r="D812" t="inlineStr">
        <is>
          <t>外部</t>
        </is>
      </c>
      <c r="E812" t="inlineStr">
        <is>
          <t>外案</t>
        </is>
      </c>
      <c r="F812" s="3" t="n">
        <v>147596</v>
      </c>
      <c r="G812" s="3" t="n">
        <v>58609</v>
      </c>
      <c r="H812" s="3" t="n">
        <v>206205</v>
      </c>
      <c r="I812" s="3" t="n">
        <v>0</v>
      </c>
      <c r="J812" s="3" t="n">
        <v>520500</v>
      </c>
    </row>
    <row r="813">
      <c r="A813" t="inlineStr">
        <is>
          <t>2027/12</t>
        </is>
      </c>
      <c r="B813" t="inlineStr">
        <is>
          <t>C/9230B</t>
        </is>
      </c>
      <c r="C813" t="inlineStr">
        <is>
          <t>北捷劍潭TOD</t>
        </is>
      </c>
      <c r="D813" t="inlineStr">
        <is>
          <t>內部</t>
        </is>
      </c>
      <c r="E813" t="inlineStr">
        <is>
          <t>內案</t>
        </is>
      </c>
      <c r="F813" s="3" t="n">
        <v>216879</v>
      </c>
      <c r="G813" s="3" t="n">
        <v>120082</v>
      </c>
      <c r="H813" s="3" t="n">
        <v>336961</v>
      </c>
      <c r="I813" s="3" t="n">
        <v>0</v>
      </c>
      <c r="J813" s="3" t="n">
        <v>150000</v>
      </c>
    </row>
    <row r="814">
      <c r="A814" t="inlineStr">
        <is>
          <t>2027/12</t>
        </is>
      </c>
      <c r="B814" t="inlineStr">
        <is>
          <t>C/9230C</t>
        </is>
      </c>
      <c r="C814" t="inlineStr">
        <is>
          <t>慶城福華-23年</t>
        </is>
      </c>
      <c r="D814" t="inlineStr">
        <is>
          <t>內部</t>
        </is>
      </c>
      <c r="E814" t="inlineStr">
        <is>
          <t>內案</t>
        </is>
      </c>
      <c r="F814" s="3" t="n">
        <v>0</v>
      </c>
      <c r="G814" s="3" t="n">
        <v>0</v>
      </c>
      <c r="H814" s="3" t="n">
        <v>0</v>
      </c>
      <c r="I814" s="3" t="n">
        <v>0</v>
      </c>
      <c r="J814" s="3" t="n">
        <v>0</v>
      </c>
    </row>
    <row r="815">
      <c r="A815" t="inlineStr">
        <is>
          <t>2027/12</t>
        </is>
      </c>
      <c r="B815" t="inlineStr">
        <is>
          <t>C/9240A</t>
        </is>
      </c>
      <c r="C815" t="inlineStr">
        <is>
          <t>南港國際一</t>
        </is>
      </c>
      <c r="D815" t="inlineStr">
        <is>
          <t>內部</t>
        </is>
      </c>
      <c r="E815" t="inlineStr">
        <is>
          <t>內案</t>
        </is>
      </c>
      <c r="F815" s="3" t="n">
        <v>3848</v>
      </c>
      <c r="G815" s="3" t="n">
        <v>3390</v>
      </c>
      <c r="H815" s="3" t="n">
        <v>7238</v>
      </c>
      <c r="I815" s="3" t="n">
        <v>0</v>
      </c>
      <c r="J815" s="3" t="n">
        <v>0</v>
      </c>
    </row>
    <row r="816">
      <c r="A816" t="inlineStr">
        <is>
          <t>2027/12</t>
        </is>
      </c>
      <c r="B816" t="inlineStr">
        <is>
          <t>C/9240B</t>
        </is>
      </c>
      <c r="C816" t="inlineStr">
        <is>
          <t xml:space="preserve">台中洲際BIM建築 </t>
        </is>
      </c>
      <c r="D816" t="inlineStr">
        <is>
          <t>內部</t>
        </is>
      </c>
      <c r="E816" t="inlineStr">
        <is>
          <t>內案</t>
        </is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0</v>
      </c>
    </row>
    <row r="817">
      <c r="A817" t="inlineStr">
        <is>
          <t>2027/12</t>
        </is>
      </c>
      <c r="B817" t="inlineStr">
        <is>
          <t>C/9240C</t>
        </is>
      </c>
      <c r="C817" t="inlineStr">
        <is>
          <t xml:space="preserve">大直金泰BIM建築 </t>
        </is>
      </c>
      <c r="D817" t="inlineStr">
        <is>
          <t>內部</t>
        </is>
      </c>
      <c r="E817" t="inlineStr">
        <is>
          <t>內案</t>
        </is>
      </c>
      <c r="F817" s="3" t="n">
        <v>0</v>
      </c>
      <c r="G817" s="3" t="n">
        <v>0</v>
      </c>
      <c r="H817" s="3" t="n">
        <v>0</v>
      </c>
      <c r="I817" s="3" t="n">
        <v>0</v>
      </c>
      <c r="J817" s="3" t="n">
        <v>0</v>
      </c>
    </row>
    <row r="818">
      <c r="A818" t="inlineStr">
        <is>
          <t>2027/12</t>
        </is>
      </c>
      <c r="B818" t="inlineStr">
        <is>
          <t>C/9240D</t>
        </is>
      </c>
      <c r="C818" t="inlineStr">
        <is>
          <t xml:space="preserve">板橋新雅BIM建築 </t>
        </is>
      </c>
      <c r="D818" t="inlineStr">
        <is>
          <t>內部</t>
        </is>
      </c>
      <c r="E818" t="inlineStr">
        <is>
          <t>內案</t>
        </is>
      </c>
      <c r="F818" s="3" t="n">
        <v>0</v>
      </c>
      <c r="G818" s="3" t="n">
        <v>0</v>
      </c>
      <c r="H818" s="3" t="n">
        <v>0</v>
      </c>
      <c r="I818" s="3" t="n">
        <v>0</v>
      </c>
      <c r="J818" s="3" t="n">
        <v>0</v>
      </c>
    </row>
    <row r="819">
      <c r="A819" t="inlineStr">
        <is>
          <t>2027/12</t>
        </is>
      </c>
      <c r="B819" t="inlineStr">
        <is>
          <t>C/9240E</t>
        </is>
      </c>
      <c r="C819" t="inlineStr">
        <is>
          <t xml:space="preserve">板橋四維BIM建築 </t>
        </is>
      </c>
      <c r="D819" t="inlineStr">
        <is>
          <t>內部</t>
        </is>
      </c>
      <c r="E819" t="inlineStr">
        <is>
          <t>內案</t>
        </is>
      </c>
      <c r="F819" s="3" t="n">
        <v>0</v>
      </c>
      <c r="G819" s="3" t="n">
        <v>0</v>
      </c>
      <c r="H819" s="3" t="n">
        <v>0</v>
      </c>
      <c r="I819" s="3" t="n">
        <v>0</v>
      </c>
      <c r="J819" s="3" t="n">
        <v>0</v>
      </c>
    </row>
    <row r="820">
      <c r="A820" t="inlineStr">
        <is>
          <t>2027/12</t>
        </is>
      </c>
      <c r="B820" t="inlineStr">
        <is>
          <t>C/9240F</t>
        </is>
      </c>
      <c r="C820" t="inlineStr">
        <is>
          <t>台中新美齊</t>
        </is>
      </c>
      <c r="D820" t="inlineStr">
        <is>
          <t>內部</t>
        </is>
      </c>
      <c r="E820" t="inlineStr">
        <is>
          <t>內案</t>
        </is>
      </c>
      <c r="F820" s="3" t="n">
        <v>0</v>
      </c>
      <c r="G820" s="3" t="n">
        <v>0</v>
      </c>
      <c r="H820" s="3" t="n">
        <v>0</v>
      </c>
      <c r="I820" s="3" t="n">
        <v>0</v>
      </c>
      <c r="J820" s="3" t="n">
        <v>0</v>
      </c>
    </row>
    <row r="821">
      <c r="A821" t="inlineStr">
        <is>
          <t>2027/12</t>
        </is>
      </c>
      <c r="B821" t="inlineStr">
        <is>
          <t>C/9240G</t>
        </is>
      </c>
      <c r="C821" t="inlineStr">
        <is>
          <t>晨禎片片山閑</t>
        </is>
      </c>
      <c r="D821" t="inlineStr">
        <is>
          <t>外部</t>
        </is>
      </c>
      <c r="E821" t="inlineStr">
        <is>
          <t>外案</t>
        </is>
      </c>
      <c r="F821" s="3" t="n">
        <v>0</v>
      </c>
      <c r="G821" s="3" t="n">
        <v>0</v>
      </c>
      <c r="H821" s="3" t="n">
        <v>0</v>
      </c>
      <c r="I821" s="3" t="n">
        <v>0</v>
      </c>
      <c r="J821" s="3" t="n">
        <v>0</v>
      </c>
    </row>
    <row r="822">
      <c r="A822" t="inlineStr">
        <is>
          <t>2027/12</t>
        </is>
      </c>
      <c r="B822" t="inlineStr">
        <is>
          <t>C/9250A</t>
        </is>
      </c>
      <c r="C822" t="inlineStr">
        <is>
          <t>南機二區BIM服務</t>
        </is>
      </c>
      <c r="D822" t="inlineStr">
        <is>
          <t>內部</t>
        </is>
      </c>
      <c r="E822" t="inlineStr">
        <is>
          <t>內案</t>
        </is>
      </c>
      <c r="F822" s="3" t="n">
        <v>442454</v>
      </c>
      <c r="G822" s="3" t="n">
        <v>109883</v>
      </c>
      <c r="H822" s="3" t="n">
        <v>552337</v>
      </c>
      <c r="I822" s="3" t="n">
        <v>0</v>
      </c>
      <c r="J822" s="3" t="n">
        <v>495000</v>
      </c>
    </row>
    <row r="823">
      <c r="A823" t="inlineStr">
        <is>
          <t>2027/12</t>
        </is>
      </c>
      <c r="B823" t="inlineStr">
        <is>
          <t>C/9250B</t>
        </is>
      </c>
      <c r="C823" t="inlineStr">
        <is>
          <t>璞真南港總部</t>
        </is>
      </c>
      <c r="D823" t="inlineStr">
        <is>
          <t>內部</t>
        </is>
      </c>
      <c r="E823" t="inlineStr">
        <is>
          <t>內案</t>
        </is>
      </c>
      <c r="F823" s="3" t="n">
        <v>11924</v>
      </c>
      <c r="G823" s="3" t="n">
        <v>5944</v>
      </c>
      <c r="H823" s="3" t="n">
        <v>17868</v>
      </c>
      <c r="I823" s="3" t="n">
        <v>0</v>
      </c>
      <c r="J823" s="3" t="n">
        <v>0</v>
      </c>
    </row>
    <row r="824">
      <c r="A824" t="inlineStr">
        <is>
          <t>2027/12</t>
        </is>
      </c>
      <c r="B824" t="inlineStr">
        <is>
          <t>C/9250C</t>
        </is>
      </c>
      <c r="C824" t="inlineStr">
        <is>
          <t>築源南港</t>
        </is>
      </c>
      <c r="D824" t="inlineStr">
        <is>
          <t>內部</t>
        </is>
      </c>
      <c r="E824" t="inlineStr">
        <is>
          <t>內案</t>
        </is>
      </c>
      <c r="F824" s="3" t="n">
        <v>10770</v>
      </c>
      <c r="G824" s="3" t="n">
        <v>5035</v>
      </c>
      <c r="H824" s="3" t="n">
        <v>15805</v>
      </c>
      <c r="I824" s="3" t="n">
        <v>0</v>
      </c>
      <c r="J824" s="3" t="n">
        <v>0</v>
      </c>
    </row>
    <row r="825">
      <c r="A825" t="inlineStr">
        <is>
          <t>2027/12</t>
        </is>
      </c>
      <c r="B825" t="inlineStr">
        <is>
          <t>C/9250D</t>
        </is>
      </c>
      <c r="C825" t="inlineStr">
        <is>
          <t>南港三重</t>
        </is>
      </c>
      <c r="D825" t="inlineStr">
        <is>
          <t>內部</t>
        </is>
      </c>
      <c r="E825" t="inlineStr">
        <is>
          <t>內案</t>
        </is>
      </c>
      <c r="F825" s="3" t="n">
        <v>32643</v>
      </c>
      <c r="G825" s="3" t="n">
        <v>14879</v>
      </c>
      <c r="H825" s="3" t="n">
        <v>47522</v>
      </c>
      <c r="I825" s="3" t="n">
        <v>0</v>
      </c>
      <c r="J825" s="3" t="n">
        <v>0</v>
      </c>
    </row>
    <row r="826">
      <c r="A826" t="inlineStr">
        <is>
          <t>2027/12</t>
        </is>
      </c>
      <c r="B826" t="inlineStr">
        <is>
          <t>C/9260A</t>
        </is>
      </c>
      <c r="C826" t="inlineStr">
        <is>
          <t>台中楓溪</t>
        </is>
      </c>
      <c r="D826" t="inlineStr">
        <is>
          <t>內部</t>
        </is>
      </c>
      <c r="E826" t="inlineStr">
        <is>
          <t>內案</t>
        </is>
      </c>
      <c r="F826" s="3" t="n">
        <v>11154</v>
      </c>
      <c r="G826" s="3" t="n">
        <v>5082</v>
      </c>
      <c r="H826" s="3" t="n">
        <v>16236</v>
      </c>
      <c r="I826" s="3" t="n">
        <v>0</v>
      </c>
      <c r="J826" s="3" t="n">
        <v>0</v>
      </c>
    </row>
    <row r="827">
      <c r="A827" t="inlineStr">
        <is>
          <t>2027/12</t>
        </is>
      </c>
      <c r="B827" t="inlineStr">
        <is>
          <t>C/9260B</t>
        </is>
      </c>
      <c r="C827" t="inlineStr">
        <is>
          <t>樺輝永鑄</t>
        </is>
      </c>
      <c r="D827" t="inlineStr">
        <is>
          <t>內部</t>
        </is>
      </c>
      <c r="E827" t="inlineStr">
        <is>
          <t>內案</t>
        </is>
      </c>
      <c r="F827" s="3" t="n">
        <v>147596</v>
      </c>
      <c r="G827" s="3" t="n">
        <v>28775</v>
      </c>
      <c r="H827" s="3" t="n">
        <v>176371</v>
      </c>
      <c r="I827" s="3" t="n">
        <v>0</v>
      </c>
      <c r="J827" s="3" t="n">
        <v>160000</v>
      </c>
    </row>
    <row r="828">
      <c r="A828" t="inlineStr">
        <is>
          <t>2027/12</t>
        </is>
      </c>
      <c r="B828" t="inlineStr">
        <is>
          <t>C/9260C</t>
        </is>
      </c>
      <c r="C828" t="inlineStr">
        <is>
          <t>中華郵政信維</t>
        </is>
      </c>
      <c r="D828" t="inlineStr">
        <is>
          <t>內部</t>
        </is>
      </c>
      <c r="E828" t="inlineStr">
        <is>
          <t>內案</t>
        </is>
      </c>
      <c r="F828" s="3" t="n">
        <v>158366</v>
      </c>
      <c r="G828" s="3" t="n">
        <v>68411</v>
      </c>
      <c r="H828" s="3" t="n">
        <v>226777</v>
      </c>
      <c r="I828" s="3" t="n">
        <v>0</v>
      </c>
      <c r="J828" s="3" t="n">
        <v>262500</v>
      </c>
    </row>
    <row r="829">
      <c r="A829" t="inlineStr">
        <is>
          <t>2027/12</t>
        </is>
      </c>
      <c r="B829" t="inlineStr">
        <is>
          <t>C/9260D</t>
        </is>
      </c>
      <c r="C829" t="inlineStr">
        <is>
          <t>大安復興</t>
        </is>
      </c>
      <c r="D829" t="inlineStr">
        <is>
          <t>內部</t>
        </is>
      </c>
      <c r="E829" t="inlineStr">
        <is>
          <t>內案</t>
        </is>
      </c>
      <c r="F829" s="3" t="n">
        <v>10000</v>
      </c>
      <c r="G829" s="3" t="n">
        <v>3973</v>
      </c>
      <c r="H829" s="3" t="n">
        <v>13973</v>
      </c>
      <c r="I829" s="3" t="n">
        <v>0</v>
      </c>
      <c r="J829" s="3" t="n">
        <v>85000</v>
      </c>
    </row>
    <row r="830">
      <c r="A830" t="inlineStr">
        <is>
          <t>2027/12</t>
        </is>
      </c>
      <c r="B830" t="inlineStr">
        <is>
          <t>C/9100B_26</t>
        </is>
      </c>
      <c r="C830" t="inlineStr">
        <is>
          <t>新取得BIM建築-26年</t>
        </is>
      </c>
      <c r="D830" t="inlineStr">
        <is>
          <t>內部</t>
        </is>
      </c>
      <c r="E830" t="inlineStr">
        <is>
          <t>內案</t>
        </is>
      </c>
      <c r="F830" s="3" t="n">
        <v>0</v>
      </c>
      <c r="G830" s="3" t="n">
        <v>0</v>
      </c>
      <c r="H830" s="3" t="n">
        <v>0</v>
      </c>
      <c r="I830" s="3" t="n">
        <v>0</v>
      </c>
      <c r="J830" s="3" t="n">
        <v>0</v>
      </c>
    </row>
    <row r="831">
      <c r="A831" t="inlineStr">
        <is>
          <t>2027/12</t>
        </is>
      </c>
      <c r="B831" t="inlineStr">
        <is>
          <t>C/9100A_27</t>
        </is>
      </c>
      <c r="C831" t="inlineStr">
        <is>
          <t>新取得BIM建築-26年</t>
        </is>
      </c>
      <c r="D831" t="inlineStr">
        <is>
          <t>內部</t>
        </is>
      </c>
      <c r="E831" t="inlineStr">
        <is>
          <t>內案</t>
        </is>
      </c>
      <c r="F831" s="3" t="n">
        <v>0</v>
      </c>
      <c r="G831" s="3" t="n">
        <v>0</v>
      </c>
      <c r="H831" s="3" t="n">
        <v>0</v>
      </c>
      <c r="I831" s="3" t="n">
        <v>0</v>
      </c>
      <c r="J831" s="3" t="n">
        <v>0</v>
      </c>
    </row>
    <row r="832">
      <c r="A832" t="inlineStr">
        <is>
          <t>2027/12</t>
        </is>
      </c>
      <c r="B832" t="inlineStr">
        <is>
          <t>C/9100B_27</t>
        </is>
      </c>
      <c r="C832" t="inlineStr">
        <is>
          <t>新取得BIM建築-27年</t>
        </is>
      </c>
      <c r="D832" t="inlineStr">
        <is>
          <t>內部</t>
        </is>
      </c>
      <c r="E832" t="inlineStr">
        <is>
          <t>內案</t>
        </is>
      </c>
      <c r="F832" s="3" t="n">
        <v>1259930</v>
      </c>
      <c r="G832" s="3" t="n">
        <v>476899</v>
      </c>
      <c r="H832" s="3" t="n">
        <v>1736829</v>
      </c>
      <c r="I832" s="3" t="n">
        <v>0</v>
      </c>
      <c r="J832" s="3" t="n">
        <v>1575000</v>
      </c>
    </row>
    <row r="833">
      <c r="A833" t="inlineStr">
        <is>
          <t>2027/12</t>
        </is>
      </c>
      <c r="B833" t="inlineStr">
        <is>
          <t>C/9100C_27</t>
        </is>
      </c>
      <c r="C833" t="inlineStr">
        <is>
          <t>新取得BIM建築-28年</t>
        </is>
      </c>
      <c r="D833" t="inlineStr">
        <is>
          <t>內部</t>
        </is>
      </c>
      <c r="E833" t="inlineStr">
        <is>
          <t>內案</t>
        </is>
      </c>
      <c r="F833" s="3" t="n">
        <v>0</v>
      </c>
      <c r="G833" s="3" t="n">
        <v>0</v>
      </c>
      <c r="H833" s="3" t="n">
        <v>0</v>
      </c>
      <c r="I833" s="3" t="n">
        <v>0</v>
      </c>
      <c r="J833" s="3" t="n">
        <v>0</v>
      </c>
    </row>
    <row r="834">
      <c r="A834" t="inlineStr">
        <is>
          <t>2027/12</t>
        </is>
      </c>
      <c r="B834" t="inlineStr">
        <is>
          <t>C/9100D_27</t>
        </is>
      </c>
      <c r="C834" t="inlineStr">
        <is>
          <t>新取得BIM建築-29年</t>
        </is>
      </c>
      <c r="D834" t="inlineStr">
        <is>
          <t>內部</t>
        </is>
      </c>
      <c r="E834" t="inlineStr">
        <is>
          <t>內案</t>
        </is>
      </c>
      <c r="F834" s="3" t="n">
        <v>0</v>
      </c>
      <c r="G834" s="3" t="n">
        <v>0</v>
      </c>
      <c r="H834" s="3" t="n">
        <v>0</v>
      </c>
      <c r="I834" s="3" t="n">
        <v>0</v>
      </c>
      <c r="J834" s="3" t="n">
        <v>0</v>
      </c>
    </row>
    <row r="835">
      <c r="A835" t="inlineStr">
        <is>
          <t>2027/12</t>
        </is>
      </c>
      <c r="B835" t="inlineStr">
        <is>
          <t>C/9100E_27</t>
        </is>
      </c>
      <c r="C835" t="inlineStr">
        <is>
          <t>新取得BIM建築-30年</t>
        </is>
      </c>
      <c r="D835" t="inlineStr">
        <is>
          <t>內部</t>
        </is>
      </c>
      <c r="E835" t="inlineStr">
        <is>
          <t>內案</t>
        </is>
      </c>
      <c r="F835" s="3" t="n">
        <v>0</v>
      </c>
      <c r="G835" s="3" t="n">
        <v>0</v>
      </c>
      <c r="H835" s="3" t="n">
        <v>0</v>
      </c>
      <c r="I835" s="3" t="n">
        <v>0</v>
      </c>
      <c r="J835" s="3" t="n">
        <v>0</v>
      </c>
    </row>
    <row r="836">
      <c r="A836" t="inlineStr">
        <is>
          <t>2027/12</t>
        </is>
      </c>
      <c r="B836" t="inlineStr">
        <is>
          <t>C/9100F_27</t>
        </is>
      </c>
      <c r="C836" t="inlineStr">
        <is>
          <t>新取得BIM建築-31年</t>
        </is>
      </c>
      <c r="D836" t="inlineStr">
        <is>
          <t>內部</t>
        </is>
      </c>
      <c r="E836" t="inlineStr">
        <is>
          <t>內案</t>
        </is>
      </c>
      <c r="F836" s="3" t="n">
        <v>0</v>
      </c>
      <c r="G836" s="3" t="n">
        <v>0</v>
      </c>
      <c r="H836" s="3" t="n">
        <v>0</v>
      </c>
      <c r="I836" s="3" t="n">
        <v>0</v>
      </c>
      <c r="J836" s="3" t="n">
        <v>0</v>
      </c>
    </row>
    <row r="837">
      <c r="A837" t="inlineStr">
        <is>
          <t>2027/12</t>
        </is>
      </c>
      <c r="B837" t="inlineStr">
        <is>
          <t>C/99992</t>
        </is>
      </c>
      <c r="C837" t="inlineStr">
        <is>
          <t>雜項BIM土木機電</t>
        </is>
      </c>
      <c r="D837" t="inlineStr">
        <is>
          <t>內/無</t>
        </is>
      </c>
      <c r="E837" t="inlineStr">
        <is>
          <t>雜項</t>
        </is>
      </c>
      <c r="F837" s="3" t="n">
        <v>23824</v>
      </c>
      <c r="G837" s="3" t="n">
        <v>5676</v>
      </c>
      <c r="H837" s="3" t="n">
        <v>29500</v>
      </c>
      <c r="I837" s="3" t="n">
        <v>0</v>
      </c>
      <c r="J837" s="3" t="n">
        <v>29500</v>
      </c>
    </row>
    <row r="838">
      <c r="A838" t="inlineStr">
        <is>
          <t>2027/12</t>
        </is>
      </c>
      <c r="B838" t="inlineStr">
        <is>
          <t>C/99992-1</t>
        </is>
      </c>
      <c r="C838" t="inlineStr">
        <is>
          <t>雜項BIM土木機電(外案收入)</t>
        </is>
      </c>
      <c r="D838" t="inlineStr">
        <is>
          <t>外部</t>
        </is>
      </c>
      <c r="E838" t="inlineStr">
        <is>
          <t>外案</t>
        </is>
      </c>
      <c r="F838" s="3" t="n">
        <v>0</v>
      </c>
      <c r="G838" s="3" t="n">
        <v>0</v>
      </c>
      <c r="H838" s="3" t="n">
        <v>0</v>
      </c>
      <c r="I838" s="3" t="n">
        <v>0</v>
      </c>
      <c r="J838" s="3" t="n">
        <v>0</v>
      </c>
    </row>
    <row r="839">
      <c r="A839" t="inlineStr">
        <is>
          <t>2027/12</t>
        </is>
      </c>
      <c r="B839" t="inlineStr">
        <is>
          <t>C/99993</t>
        </is>
      </c>
      <c r="C839" t="inlineStr">
        <is>
          <t>備標BIM土木機電</t>
        </is>
      </c>
      <c r="D839" t="inlineStr">
        <is>
          <t>備標</t>
        </is>
      </c>
      <c r="E839" t="inlineStr">
        <is>
          <t>備標</t>
        </is>
      </c>
      <c r="F839" s="3" t="n">
        <v>59561</v>
      </c>
      <c r="G839" s="3" t="n">
        <v>1140439</v>
      </c>
      <c r="H839" s="3" t="n">
        <v>1200000</v>
      </c>
      <c r="I839" s="3" t="n">
        <v>0</v>
      </c>
      <c r="J839" s="3" t="n">
        <v>1200000</v>
      </c>
    </row>
    <row r="840">
      <c r="A840" t="inlineStr">
        <is>
          <t>2027/12</t>
        </is>
      </c>
      <c r="B840" t="inlineStr">
        <is>
          <t>C/9999B</t>
        </is>
      </c>
      <c r="C840" t="inlineStr">
        <is>
          <t>雜項BIM建築</t>
        </is>
      </c>
      <c r="D840" t="inlineStr">
        <is>
          <t>內/無</t>
        </is>
      </c>
      <c r="E840" t="inlineStr">
        <is>
          <t>雜項</t>
        </is>
      </c>
      <c r="F840" s="3" t="n">
        <v>0</v>
      </c>
      <c r="G840" s="3" t="n">
        <v>0</v>
      </c>
      <c r="H840" s="3" t="n">
        <v>0</v>
      </c>
      <c r="I840" s="3" t="n">
        <v>0</v>
      </c>
      <c r="J840" s="3" t="n">
        <v>0</v>
      </c>
    </row>
    <row r="841">
      <c r="A841" t="inlineStr">
        <is>
          <t>2027/12</t>
        </is>
      </c>
      <c r="B841" t="inlineStr">
        <is>
          <t>C/9999D</t>
        </is>
      </c>
      <c r="C841" t="inlineStr">
        <is>
          <t>備標BIM建築</t>
        </is>
      </c>
      <c r="D841" t="inlineStr">
        <is>
          <t>備標</t>
        </is>
      </c>
      <c r="E841" t="inlineStr">
        <is>
          <t>備標</t>
        </is>
      </c>
      <c r="F841" s="3" t="n">
        <v>20000</v>
      </c>
      <c r="G841" s="3" t="n">
        <v>-20000</v>
      </c>
      <c r="H841" s="3" t="n">
        <v>0</v>
      </c>
      <c r="I841" s="3" t="n">
        <v>0</v>
      </c>
      <c r="J841" s="3" t="n">
        <v>0</v>
      </c>
    </row>
    <row r="842">
      <c r="A842" t="inlineStr">
        <is>
          <t>Year 2027</t>
        </is>
      </c>
      <c r="B842" t="inlineStr">
        <is>
          <t>C/92103</t>
        </is>
      </c>
      <c r="C842" t="inlineStr">
        <is>
          <t>CQ840 BIM</t>
        </is>
      </c>
      <c r="D842" t="inlineStr">
        <is>
          <t>內部</t>
        </is>
      </c>
      <c r="E842" t="inlineStr">
        <is>
          <t>內案</t>
        </is>
      </c>
      <c r="F842" s="3" t="n">
        <v>1187639</v>
      </c>
      <c r="G842" s="3" t="n">
        <v>-201922</v>
      </c>
      <c r="H842" s="3" t="n">
        <v>985717</v>
      </c>
      <c r="I842" s="3" t="n">
        <v>201922</v>
      </c>
      <c r="J842" s="3" t="n">
        <v>0</v>
      </c>
    </row>
    <row r="843">
      <c r="A843" t="inlineStr">
        <is>
          <t>Year 2027</t>
        </is>
      </c>
      <c r="B843" t="inlineStr">
        <is>
          <t>C/92202</t>
        </is>
      </c>
      <c r="C843" t="inlineStr">
        <is>
          <t>CF680C BIM</t>
        </is>
      </c>
      <c r="D843" t="inlineStr">
        <is>
          <t>內部</t>
        </is>
      </c>
      <c r="E843" t="inlineStr">
        <is>
          <t>內案</t>
        </is>
      </c>
      <c r="F843" s="3" t="n">
        <v>700238</v>
      </c>
      <c r="G843" s="3" t="n">
        <v>336730</v>
      </c>
      <c r="H843" s="3" t="n">
        <v>1036968</v>
      </c>
      <c r="I843" s="3" t="n">
        <v>0</v>
      </c>
      <c r="J843" s="3" t="n">
        <v>585000</v>
      </c>
    </row>
    <row r="844">
      <c r="A844" t="inlineStr">
        <is>
          <t>Year 2027</t>
        </is>
      </c>
      <c r="B844" t="inlineStr">
        <is>
          <t>C/92203</t>
        </is>
      </c>
      <c r="C844" t="inlineStr">
        <is>
          <t>N－WH BIM</t>
        </is>
      </c>
      <c r="D844" t="inlineStr">
        <is>
          <t>內部</t>
        </is>
      </c>
      <c r="E844" t="inlineStr">
        <is>
          <t>內案</t>
        </is>
      </c>
      <c r="F844" s="3" t="n">
        <v>1302420</v>
      </c>
      <c r="G844" s="3" t="n">
        <v>450057</v>
      </c>
      <c r="H844" s="3" t="n">
        <v>1752477</v>
      </c>
      <c r="I844" s="3" t="n">
        <v>0</v>
      </c>
      <c r="J844" s="3" t="n">
        <v>2561032</v>
      </c>
    </row>
    <row r="845">
      <c r="A845" t="inlineStr">
        <is>
          <t>Year 2027</t>
        </is>
      </c>
      <c r="B845" t="inlineStr">
        <is>
          <t>C/92204</t>
        </is>
      </c>
      <c r="C845" t="inlineStr">
        <is>
          <t>國揚吉林機電</t>
        </is>
      </c>
      <c r="D845" t="inlineStr">
        <is>
          <t>內部</t>
        </is>
      </c>
      <c r="E845" t="inlineStr">
        <is>
          <t>內案</t>
        </is>
      </c>
      <c r="F845" s="3" t="n">
        <v>0</v>
      </c>
      <c r="G845" s="3" t="n">
        <v>0</v>
      </c>
      <c r="H845" s="3" t="n">
        <v>0</v>
      </c>
      <c r="I845" s="3" t="n">
        <v>0</v>
      </c>
      <c r="J845" s="3" t="n">
        <v>0</v>
      </c>
    </row>
    <row r="846">
      <c r="A846" t="inlineStr">
        <is>
          <t>Year 2027</t>
        </is>
      </c>
      <c r="B846" t="inlineStr">
        <is>
          <t>C/92301</t>
        </is>
      </c>
      <c r="C846" t="inlineStr">
        <is>
          <t>CF670A BIM 土木機電</t>
        </is>
      </c>
      <c r="D846" t="inlineStr">
        <is>
          <t>內部</t>
        </is>
      </c>
      <c r="E846" t="inlineStr">
        <is>
          <t>內案</t>
        </is>
      </c>
      <c r="F846" s="3" t="n">
        <v>603749</v>
      </c>
      <c r="G846" s="3" t="n">
        <v>69343</v>
      </c>
      <c r="H846" s="3" t="n">
        <v>673092</v>
      </c>
      <c r="I846" s="3" t="n">
        <v>0</v>
      </c>
      <c r="J846" s="3" t="n">
        <v>423000</v>
      </c>
    </row>
    <row r="847">
      <c r="A847" t="inlineStr">
        <is>
          <t>Year 2027</t>
        </is>
      </c>
      <c r="B847" t="inlineStr">
        <is>
          <t>C/92302</t>
        </is>
      </c>
      <c r="C847" t="inlineStr">
        <is>
          <t>富邦忠孝懷生BIM機電</t>
        </is>
      </c>
      <c r="D847" t="inlineStr">
        <is>
          <t>內部</t>
        </is>
      </c>
      <c r="E847" t="inlineStr">
        <is>
          <t>內案</t>
        </is>
      </c>
      <c r="F847" s="3" t="n">
        <v>928959</v>
      </c>
      <c r="G847" s="3" t="n">
        <v>-39693</v>
      </c>
      <c r="H847" s="3" t="n">
        <v>889266</v>
      </c>
      <c r="I847" s="3" t="n">
        <v>39693</v>
      </c>
      <c r="J847" s="3" t="n">
        <v>0</v>
      </c>
    </row>
    <row r="848">
      <c r="A848" t="inlineStr">
        <is>
          <t>Year 2027</t>
        </is>
      </c>
      <c r="B848" t="inlineStr">
        <is>
          <t>C/92303</t>
        </is>
      </c>
      <c r="C848" t="inlineStr">
        <is>
          <t>信義兒福BIM機電</t>
        </is>
      </c>
      <c r="D848" t="inlineStr">
        <is>
          <t>外部</t>
        </is>
      </c>
      <c r="E848" t="inlineStr">
        <is>
          <t>外案</t>
        </is>
      </c>
      <c r="F848" s="3" t="n">
        <v>590560</v>
      </c>
      <c r="G848" s="3" t="n">
        <v>142778</v>
      </c>
      <c r="H848" s="3" t="n">
        <v>733338</v>
      </c>
      <c r="I848" s="3" t="n">
        <v>0</v>
      </c>
      <c r="J848" s="3" t="n">
        <v>1388000</v>
      </c>
    </row>
    <row r="849">
      <c r="A849" t="inlineStr">
        <is>
          <t>Year 2027</t>
        </is>
      </c>
      <c r="B849" t="inlineStr">
        <is>
          <t>C/92304</t>
        </is>
      </c>
      <c r="C849" t="inlineStr">
        <is>
          <t>捷運劍潭站TOD統包BIM機電</t>
        </is>
      </c>
      <c r="D849" t="inlineStr">
        <is>
          <t>內部</t>
        </is>
      </c>
      <c r="E849" t="inlineStr">
        <is>
          <t>內案</t>
        </is>
      </c>
      <c r="F849" s="3" t="n">
        <v>2151452</v>
      </c>
      <c r="G849" s="3" t="n">
        <v>231795</v>
      </c>
      <c r="H849" s="3" t="n">
        <v>2383247</v>
      </c>
      <c r="I849" s="3" t="n">
        <v>0</v>
      </c>
      <c r="J849" s="3" t="n">
        <v>2175000</v>
      </c>
    </row>
    <row r="850">
      <c r="A850" t="inlineStr">
        <is>
          <t>Year 2027</t>
        </is>
      </c>
      <c r="B850" t="inlineStr">
        <is>
          <t>C/92401</t>
        </is>
      </c>
      <c r="C850" t="inlineStr">
        <is>
          <t>CJ17 土木機電</t>
        </is>
      </c>
      <c r="D850" t="inlineStr">
        <is>
          <t>內部</t>
        </is>
      </c>
      <c r="E850" t="inlineStr">
        <is>
          <t>內案</t>
        </is>
      </c>
      <c r="F850" s="3" t="n">
        <v>2454644</v>
      </c>
      <c r="G850" s="3" t="n">
        <v>1188388</v>
      </c>
      <c r="H850" s="3" t="n">
        <v>3643032</v>
      </c>
      <c r="I850" s="3" t="n">
        <v>0</v>
      </c>
      <c r="J850" s="3" t="n">
        <v>5480000</v>
      </c>
    </row>
    <row r="851">
      <c r="A851" t="inlineStr">
        <is>
          <t>Year 2027</t>
        </is>
      </c>
      <c r="B851" t="inlineStr">
        <is>
          <t>C/92501</t>
        </is>
      </c>
      <c r="C851" t="inlineStr">
        <is>
          <t>CF670 BIM土木機電</t>
        </is>
      </c>
      <c r="D851" t="inlineStr">
        <is>
          <t>內部</t>
        </is>
      </c>
      <c r="E851" t="inlineStr">
        <is>
          <t>內案</t>
        </is>
      </c>
      <c r="F851" s="3" t="n">
        <v>3144069</v>
      </c>
      <c r="G851" s="3" t="n">
        <v>1501419</v>
      </c>
      <c r="H851" s="3" t="n">
        <v>4645488</v>
      </c>
      <c r="I851" s="3" t="n">
        <v>0</v>
      </c>
      <c r="J851" s="3" t="n">
        <v>6453250</v>
      </c>
    </row>
    <row r="852">
      <c r="A852" t="inlineStr">
        <is>
          <t>Year 2027</t>
        </is>
      </c>
      <c r="B852" t="inlineStr">
        <is>
          <t>C/92502</t>
        </is>
      </c>
      <c r="C852" t="inlineStr">
        <is>
          <t>擎邦-聯發科機電</t>
        </is>
      </c>
      <c r="D852" t="inlineStr">
        <is>
          <t>外部</t>
        </is>
      </c>
      <c r="E852" t="inlineStr">
        <is>
          <t>外案</t>
        </is>
      </c>
      <c r="F852" s="3" t="n">
        <v>1021781</v>
      </c>
      <c r="G852" s="3" t="n">
        <v>794587</v>
      </c>
      <c r="H852" s="3" t="n">
        <v>1816368</v>
      </c>
      <c r="I852" s="3" t="n">
        <v>0</v>
      </c>
      <c r="J852" s="3" t="n">
        <v>810000</v>
      </c>
    </row>
    <row r="853">
      <c r="A853" t="inlineStr">
        <is>
          <t>Year 2027</t>
        </is>
      </c>
      <c r="B853" t="inlineStr">
        <is>
          <t>C/92503</t>
        </is>
      </c>
      <c r="C853" t="inlineStr">
        <is>
          <t>CF690B BIM土木</t>
        </is>
      </c>
      <c r="D853" t="inlineStr">
        <is>
          <t>外部</t>
        </is>
      </c>
      <c r="E853" t="inlineStr">
        <is>
          <t>外案</t>
        </is>
      </c>
      <c r="F853" s="3" t="n">
        <v>594217</v>
      </c>
      <c r="G853" s="3" t="n">
        <v>247771</v>
      </c>
      <c r="H853" s="3" t="n">
        <v>841988</v>
      </c>
      <c r="I853" s="3" t="n">
        <v>0</v>
      </c>
      <c r="J853" s="3" t="n">
        <v>1140000</v>
      </c>
    </row>
    <row r="854">
      <c r="A854" t="inlineStr">
        <is>
          <t>Year 2027</t>
        </is>
      </c>
      <c r="B854" t="inlineStr">
        <is>
          <t>C/92504</t>
        </is>
      </c>
      <c r="C854" t="inlineStr">
        <is>
          <t>擎邦-員榮總醫院BIM</t>
        </is>
      </c>
      <c r="D854" t="inlineStr">
        <is>
          <t>外部</t>
        </is>
      </c>
      <c r="E854" t="inlineStr">
        <is>
          <t>外案</t>
        </is>
      </c>
      <c r="F854" s="3" t="n">
        <v>3724065</v>
      </c>
      <c r="G854" s="3" t="n">
        <v>1828206</v>
      </c>
      <c r="H854" s="3" t="n">
        <v>5552271</v>
      </c>
      <c r="I854" s="3" t="n">
        <v>0</v>
      </c>
      <c r="J854" s="3" t="n">
        <v>6486000</v>
      </c>
    </row>
    <row r="855">
      <c r="A855" t="inlineStr">
        <is>
          <t>Year 2027</t>
        </is>
      </c>
      <c r="B855" t="inlineStr">
        <is>
          <t>C/92601</t>
        </is>
      </c>
      <c r="C855" t="inlineStr">
        <is>
          <t>擎邦-聯發科銅鑼</t>
        </is>
      </c>
      <c r="D855" t="inlineStr">
        <is>
          <t>外部</t>
        </is>
      </c>
      <c r="E855" t="inlineStr">
        <is>
          <t>外案</t>
        </is>
      </c>
      <c r="F855" s="3" t="n">
        <v>0</v>
      </c>
      <c r="G855" s="3" t="n">
        <v>0</v>
      </c>
      <c r="H855" s="3" t="n">
        <v>0</v>
      </c>
      <c r="I855" s="3" t="n">
        <v>0</v>
      </c>
      <c r="J855" s="3" t="n">
        <v>0</v>
      </c>
    </row>
    <row r="856">
      <c r="A856" t="inlineStr">
        <is>
          <t>Year 2027</t>
        </is>
      </c>
      <c r="B856" t="inlineStr">
        <is>
          <t>C/92602</t>
        </is>
      </c>
      <c r="C856" t="inlineStr">
        <is>
          <t>擎邦-CF624F機電(CF690B機電)</t>
        </is>
      </c>
      <c r="D856" t="inlineStr">
        <is>
          <t>外部</t>
        </is>
      </c>
      <c r="E856" t="inlineStr">
        <is>
          <t>外案</t>
        </is>
      </c>
      <c r="F856" s="3" t="n">
        <v>2888904</v>
      </c>
      <c r="G856" s="3" t="n">
        <v>1347999</v>
      </c>
      <c r="H856" s="3" t="n">
        <v>4236903</v>
      </c>
      <c r="I856" s="3" t="n">
        <v>0</v>
      </c>
      <c r="J856" s="3" t="n">
        <v>1500000</v>
      </c>
    </row>
    <row r="857">
      <c r="A857" t="inlineStr">
        <is>
          <t>Year 2027</t>
        </is>
      </c>
      <c r="B857" t="inlineStr">
        <is>
          <t>C/92603</t>
        </is>
      </c>
      <c r="C857" t="inlineStr">
        <is>
          <t>中華郵政信維機電</t>
        </is>
      </c>
      <c r="D857" t="inlineStr">
        <is>
          <t>內部</t>
        </is>
      </c>
      <c r="E857" t="inlineStr">
        <is>
          <t>內案</t>
        </is>
      </c>
      <c r="F857" s="3" t="n">
        <v>2531541</v>
      </c>
      <c r="G857" s="3" t="n">
        <v>1242891</v>
      </c>
      <c r="H857" s="3" t="n">
        <v>3774432</v>
      </c>
      <c r="I857" s="3" t="n">
        <v>0</v>
      </c>
      <c r="J857" s="3" t="n">
        <v>4704000</v>
      </c>
    </row>
    <row r="858">
      <c r="A858" t="inlineStr">
        <is>
          <t>Year 2027</t>
        </is>
      </c>
      <c r="B858" t="inlineStr">
        <is>
          <t>C/91001_26</t>
        </is>
      </c>
      <c r="C858" t="inlineStr">
        <is>
          <t>新取得BIM土木機電-26年</t>
        </is>
      </c>
      <c r="D858" t="inlineStr">
        <is>
          <t>內部</t>
        </is>
      </c>
      <c r="E858" t="inlineStr">
        <is>
          <t>內案</t>
        </is>
      </c>
      <c r="F858" s="3" t="n">
        <v>0</v>
      </c>
      <c r="G858" s="3" t="n">
        <v>0</v>
      </c>
      <c r="H858" s="3" t="n">
        <v>0</v>
      </c>
      <c r="I858" s="3" t="n">
        <v>0</v>
      </c>
      <c r="J858" s="3" t="n">
        <v>0</v>
      </c>
    </row>
    <row r="859">
      <c r="A859" t="inlineStr">
        <is>
          <t>Year 2027</t>
        </is>
      </c>
      <c r="B859" t="inlineStr">
        <is>
          <t>C/91000_27</t>
        </is>
      </c>
      <c r="C859" t="inlineStr">
        <is>
          <t>新取得BIM土木機電-26年</t>
        </is>
      </c>
      <c r="D859" t="inlineStr">
        <is>
          <t>內部</t>
        </is>
      </c>
      <c r="E859" t="inlineStr">
        <is>
          <t>內案</t>
        </is>
      </c>
      <c r="F859" s="3" t="n">
        <v>0</v>
      </c>
      <c r="G859" s="3" t="n">
        <v>0</v>
      </c>
      <c r="H859" s="3" t="n">
        <v>0</v>
      </c>
      <c r="I859" s="3" t="n">
        <v>0</v>
      </c>
      <c r="J859" s="3" t="n">
        <v>0</v>
      </c>
    </row>
    <row r="860">
      <c r="A860" t="inlineStr">
        <is>
          <t>Year 2027</t>
        </is>
      </c>
      <c r="B860" t="inlineStr">
        <is>
          <t>C/91001_27</t>
        </is>
      </c>
      <c r="C860" t="inlineStr">
        <is>
          <t>新取得BIM土木機電-27年</t>
        </is>
      </c>
      <c r="D860" t="inlineStr">
        <is>
          <t>內部</t>
        </is>
      </c>
      <c r="E860" t="inlineStr">
        <is>
          <t>內案</t>
        </is>
      </c>
      <c r="F860" s="3" t="n">
        <v>4288356</v>
      </c>
      <c r="G860" s="3" t="n">
        <v>2147223</v>
      </c>
      <c r="H860" s="3" t="n">
        <v>6435579</v>
      </c>
      <c r="I860" s="3" t="n">
        <v>0</v>
      </c>
      <c r="J860" s="3" t="n">
        <v>2874000</v>
      </c>
    </row>
    <row r="861">
      <c r="A861" t="inlineStr">
        <is>
          <t>Year 2027</t>
        </is>
      </c>
      <c r="B861" t="inlineStr">
        <is>
          <t>C/91002_27</t>
        </is>
      </c>
      <c r="C861" t="inlineStr">
        <is>
          <t>新取得BIM土木機電-28年</t>
        </is>
      </c>
      <c r="D861" t="inlineStr">
        <is>
          <t>內部</t>
        </is>
      </c>
      <c r="E861" t="inlineStr">
        <is>
          <t>內案</t>
        </is>
      </c>
      <c r="F861" s="3" t="n">
        <v>0</v>
      </c>
      <c r="G861" s="3" t="n">
        <v>0</v>
      </c>
      <c r="H861" s="3" t="n">
        <v>0</v>
      </c>
      <c r="I861" s="3" t="n">
        <v>0</v>
      </c>
      <c r="J861" s="3" t="n">
        <v>0</v>
      </c>
    </row>
    <row r="862">
      <c r="A862" t="inlineStr">
        <is>
          <t>Year 2027</t>
        </is>
      </c>
      <c r="B862" t="inlineStr">
        <is>
          <t>C/91003_27</t>
        </is>
      </c>
      <c r="C862" t="inlineStr">
        <is>
          <t>新取得BIM土木機電-29年</t>
        </is>
      </c>
      <c r="D862" t="inlineStr">
        <is>
          <t>內部</t>
        </is>
      </c>
      <c r="E862" t="inlineStr">
        <is>
          <t>內案</t>
        </is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</row>
    <row r="863">
      <c r="A863" t="inlineStr">
        <is>
          <t>Year 2027</t>
        </is>
      </c>
      <c r="B863" t="inlineStr">
        <is>
          <t>C/91004_27</t>
        </is>
      </c>
      <c r="C863" t="inlineStr">
        <is>
          <t>新取得BIM土木機電-30年</t>
        </is>
      </c>
      <c r="D863" t="inlineStr">
        <is>
          <t>內部</t>
        </is>
      </c>
      <c r="E863" t="inlineStr">
        <is>
          <t>內案</t>
        </is>
      </c>
      <c r="F863" s="3" t="n">
        <v>0</v>
      </c>
      <c r="G863" s="3" t="n">
        <v>0</v>
      </c>
      <c r="H863" s="3" t="n">
        <v>0</v>
      </c>
      <c r="I863" s="3" t="n">
        <v>0</v>
      </c>
      <c r="J863" s="3" t="n">
        <v>0</v>
      </c>
    </row>
    <row r="864">
      <c r="A864" t="inlineStr">
        <is>
          <t>Year 2027</t>
        </is>
      </c>
      <c r="B864" t="inlineStr">
        <is>
          <t>C/91005_27</t>
        </is>
      </c>
      <c r="C864" t="inlineStr">
        <is>
          <t>新取得BIM土木機電-31年</t>
        </is>
      </c>
      <c r="D864" t="inlineStr">
        <is>
          <t>內部</t>
        </is>
      </c>
      <c r="E864" t="inlineStr">
        <is>
          <t>內案</t>
        </is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</row>
    <row r="865">
      <c r="A865" t="inlineStr">
        <is>
          <t>Year 2027</t>
        </is>
      </c>
      <c r="B865" t="inlineStr">
        <is>
          <t>C/9210F</t>
        </is>
      </c>
      <c r="C865" t="inlineStr">
        <is>
          <t>南港機廠BIM建築</t>
        </is>
      </c>
      <c r="D865" t="inlineStr">
        <is>
          <t>外部</t>
        </is>
      </c>
      <c r="E865" t="inlineStr">
        <is>
          <t>外案</t>
        </is>
      </c>
      <c r="F865" s="3" t="n">
        <v>0</v>
      </c>
      <c r="G865" s="3" t="n">
        <v>0</v>
      </c>
      <c r="H865" s="3" t="n">
        <v>0</v>
      </c>
      <c r="I865" s="3" t="n">
        <v>0</v>
      </c>
      <c r="J865" s="3" t="n">
        <v>0</v>
      </c>
    </row>
    <row r="866">
      <c r="A866" t="inlineStr">
        <is>
          <t>Year 2027</t>
        </is>
      </c>
      <c r="B866" t="inlineStr">
        <is>
          <t>C/9210G</t>
        </is>
      </c>
      <c r="C866" t="inlineStr">
        <is>
          <t>富邦忠孝懷生BIM建築</t>
        </is>
      </c>
      <c r="D866" t="inlineStr">
        <is>
          <t>內部</t>
        </is>
      </c>
      <c r="E866" t="inlineStr">
        <is>
          <t>內案</t>
        </is>
      </c>
      <c r="F866" s="3" t="n">
        <v>173774</v>
      </c>
      <c r="G866" s="3" t="n">
        <v>-16419</v>
      </c>
      <c r="H866" s="3" t="n">
        <v>157355</v>
      </c>
      <c r="I866" s="3" t="n">
        <v>16419</v>
      </c>
      <c r="J866" s="3" t="n">
        <v>75000</v>
      </c>
    </row>
    <row r="867">
      <c r="A867" t="inlineStr">
        <is>
          <t>Year 2027</t>
        </is>
      </c>
      <c r="B867" t="inlineStr">
        <is>
          <t>C/9220E</t>
        </is>
      </c>
      <c r="C867" t="inlineStr">
        <is>
          <t>柏鴻北士科 C/9100A-22A</t>
        </is>
      </c>
      <c r="D867" t="inlineStr">
        <is>
          <t>內部</t>
        </is>
      </c>
      <c r="E867" t="inlineStr">
        <is>
          <t>內案</t>
        </is>
      </c>
      <c r="F867" s="3" t="n">
        <v>81261</v>
      </c>
      <c r="G867" s="3" t="n">
        <v>55719</v>
      </c>
      <c r="H867" s="3" t="n">
        <v>136980</v>
      </c>
      <c r="I867" s="3" t="n">
        <v>0</v>
      </c>
      <c r="J867" s="3" t="n">
        <v>0</v>
      </c>
    </row>
    <row r="868">
      <c r="A868" t="inlineStr">
        <is>
          <t>Year 2027</t>
        </is>
      </c>
      <c r="B868" t="inlineStr">
        <is>
          <t>C/9230A</t>
        </is>
      </c>
      <c r="C868" t="inlineStr">
        <is>
          <t>信義兒福BIM建築</t>
        </is>
      </c>
      <c r="D868" t="inlineStr">
        <is>
          <t>外部</t>
        </is>
      </c>
      <c r="E868" t="inlineStr">
        <is>
          <t>外案</t>
        </is>
      </c>
      <c r="F868" s="3" t="n">
        <v>1452998</v>
      </c>
      <c r="G868" s="3" t="n">
        <v>576972</v>
      </c>
      <c r="H868" s="3" t="n">
        <v>2029970</v>
      </c>
      <c r="I868" s="3" t="n">
        <v>0</v>
      </c>
      <c r="J868" s="3" t="n">
        <v>1561500</v>
      </c>
    </row>
    <row r="869">
      <c r="A869" t="inlineStr">
        <is>
          <t>Year 2027</t>
        </is>
      </c>
      <c r="B869" t="inlineStr">
        <is>
          <t>C/9230B</t>
        </is>
      </c>
      <c r="C869" t="inlineStr">
        <is>
          <t>北捷劍潭TOD</t>
        </is>
      </c>
      <c r="D869" t="inlineStr">
        <is>
          <t>內部</t>
        </is>
      </c>
      <c r="E869" t="inlineStr">
        <is>
          <t>內案</t>
        </is>
      </c>
      <c r="F869" s="3" t="n">
        <v>1778629</v>
      </c>
      <c r="G869" s="3" t="n">
        <v>984795</v>
      </c>
      <c r="H869" s="3" t="n">
        <v>2763424</v>
      </c>
      <c r="I869" s="3" t="n">
        <v>0</v>
      </c>
      <c r="J869" s="3" t="n">
        <v>2580000</v>
      </c>
    </row>
    <row r="870">
      <c r="A870" t="inlineStr">
        <is>
          <t>Year 2027</t>
        </is>
      </c>
      <c r="B870" t="inlineStr">
        <is>
          <t>C/9230C</t>
        </is>
      </c>
      <c r="C870" t="inlineStr">
        <is>
          <t>慶城福華-23年</t>
        </is>
      </c>
      <c r="D870" t="inlineStr">
        <is>
          <t>內部</t>
        </is>
      </c>
      <c r="E870" t="inlineStr">
        <is>
          <t>內案</t>
        </is>
      </c>
      <c r="F870" s="3" t="n">
        <v>7267</v>
      </c>
      <c r="G870" s="3" t="n">
        <v>3951</v>
      </c>
      <c r="H870" s="3" t="n">
        <v>11218</v>
      </c>
      <c r="I870" s="3" t="n">
        <v>0</v>
      </c>
      <c r="J870" s="3" t="n">
        <v>0</v>
      </c>
    </row>
    <row r="871">
      <c r="A871" t="inlineStr">
        <is>
          <t>Year 2027</t>
        </is>
      </c>
      <c r="B871" t="inlineStr">
        <is>
          <t>C/9240A</t>
        </is>
      </c>
      <c r="C871" t="inlineStr">
        <is>
          <t>南港國際一</t>
        </is>
      </c>
      <c r="D871" t="inlineStr">
        <is>
          <t>內部</t>
        </is>
      </c>
      <c r="E871" t="inlineStr">
        <is>
          <t>內案</t>
        </is>
      </c>
      <c r="F871" s="3" t="n">
        <v>932535</v>
      </c>
      <c r="G871" s="3" t="n">
        <v>821699</v>
      </c>
      <c r="H871" s="3" t="n">
        <v>1754234</v>
      </c>
      <c r="I871" s="3" t="n">
        <v>0</v>
      </c>
      <c r="J871" s="3" t="n">
        <v>500999.9999999999</v>
      </c>
    </row>
    <row r="872">
      <c r="A872" t="inlineStr">
        <is>
          <t>Year 2027</t>
        </is>
      </c>
      <c r="B872" t="inlineStr">
        <is>
          <t>C/9240B</t>
        </is>
      </c>
      <c r="C872" t="inlineStr">
        <is>
          <t xml:space="preserve">台中洲際BIM建築 </t>
        </is>
      </c>
      <c r="D872" t="inlineStr">
        <is>
          <t>內部</t>
        </is>
      </c>
      <c r="E872" t="inlineStr">
        <is>
          <t>內案</t>
        </is>
      </c>
      <c r="F872" s="3" t="n">
        <v>0</v>
      </c>
      <c r="G872" s="3" t="n">
        <v>0</v>
      </c>
      <c r="H872" s="3" t="n">
        <v>0</v>
      </c>
      <c r="I872" s="3" t="n">
        <v>0</v>
      </c>
      <c r="J872" s="3" t="n">
        <v>0</v>
      </c>
    </row>
    <row r="873">
      <c r="A873" t="inlineStr">
        <is>
          <t>Year 2027</t>
        </is>
      </c>
      <c r="B873" t="inlineStr">
        <is>
          <t>C/9240C</t>
        </is>
      </c>
      <c r="C873" t="inlineStr">
        <is>
          <t xml:space="preserve">大直金泰BIM建築 </t>
        </is>
      </c>
      <c r="D873" t="inlineStr">
        <is>
          <t>內部</t>
        </is>
      </c>
      <c r="E873" t="inlineStr">
        <is>
          <t>內案</t>
        </is>
      </c>
      <c r="F873" s="3" t="n">
        <v>0</v>
      </c>
      <c r="G873" s="3" t="n">
        <v>0</v>
      </c>
      <c r="H873" s="3" t="n">
        <v>0</v>
      </c>
      <c r="I873" s="3" t="n">
        <v>0</v>
      </c>
      <c r="J873" s="3" t="n">
        <v>0</v>
      </c>
    </row>
    <row r="874">
      <c r="A874" t="inlineStr">
        <is>
          <t>Year 2027</t>
        </is>
      </c>
      <c r="B874" t="inlineStr">
        <is>
          <t>C/9240D</t>
        </is>
      </c>
      <c r="C874" t="inlineStr">
        <is>
          <t xml:space="preserve">板橋新雅BIM建築 </t>
        </is>
      </c>
      <c r="D874" t="inlineStr">
        <is>
          <t>內部</t>
        </is>
      </c>
      <c r="E874" t="inlineStr">
        <is>
          <t>內案</t>
        </is>
      </c>
      <c r="F874" s="3" t="n">
        <v>0</v>
      </c>
      <c r="G874" s="3" t="n">
        <v>0</v>
      </c>
      <c r="H874" s="3" t="n">
        <v>0</v>
      </c>
      <c r="I874" s="3" t="n">
        <v>0</v>
      </c>
      <c r="J874" s="3" t="n">
        <v>0</v>
      </c>
    </row>
    <row r="875">
      <c r="A875" t="inlineStr">
        <is>
          <t>Year 2027</t>
        </is>
      </c>
      <c r="B875" t="inlineStr">
        <is>
          <t>C/9240E</t>
        </is>
      </c>
      <c r="C875" t="inlineStr">
        <is>
          <t xml:space="preserve">板橋四維BIM建築 </t>
        </is>
      </c>
      <c r="D875" t="inlineStr">
        <is>
          <t>內部</t>
        </is>
      </c>
      <c r="E875" t="inlineStr">
        <is>
          <t>內案</t>
        </is>
      </c>
      <c r="F875" s="3" t="n">
        <v>0</v>
      </c>
      <c r="G875" s="3" t="n">
        <v>0</v>
      </c>
      <c r="H875" s="3" t="n">
        <v>0</v>
      </c>
      <c r="I875" s="3" t="n">
        <v>0</v>
      </c>
      <c r="J875" s="3" t="n">
        <v>0</v>
      </c>
    </row>
    <row r="876">
      <c r="A876" t="inlineStr">
        <is>
          <t>Year 2027</t>
        </is>
      </c>
      <c r="B876" t="inlineStr">
        <is>
          <t>C/9240F</t>
        </is>
      </c>
      <c r="C876" t="inlineStr">
        <is>
          <t>台中新美齊</t>
        </is>
      </c>
      <c r="D876" t="inlineStr">
        <is>
          <t>內部</t>
        </is>
      </c>
      <c r="E876" t="inlineStr">
        <is>
          <t>內案</t>
        </is>
      </c>
      <c r="F876" s="3" t="n">
        <v>7267</v>
      </c>
      <c r="G876" s="3" t="n">
        <v>6372</v>
      </c>
      <c r="H876" s="3" t="n">
        <v>13639</v>
      </c>
      <c r="I876" s="3" t="n">
        <v>0</v>
      </c>
      <c r="J876" s="3" t="n">
        <v>0</v>
      </c>
    </row>
    <row r="877">
      <c r="A877" t="inlineStr">
        <is>
          <t>Year 2027</t>
        </is>
      </c>
      <c r="B877" t="inlineStr">
        <is>
          <t>C/9240G</t>
        </is>
      </c>
      <c r="C877" t="inlineStr">
        <is>
          <t>晨禎片片山閑</t>
        </is>
      </c>
      <c r="D877" t="inlineStr">
        <is>
          <t>外部</t>
        </is>
      </c>
      <c r="E877" t="inlineStr">
        <is>
          <t>外案</t>
        </is>
      </c>
      <c r="F877" s="3" t="n">
        <v>0</v>
      </c>
      <c r="G877" s="3" t="n">
        <v>0</v>
      </c>
      <c r="H877" s="3" t="n">
        <v>0</v>
      </c>
      <c r="I877" s="3" t="n">
        <v>0</v>
      </c>
      <c r="J877" s="3" t="n">
        <v>0</v>
      </c>
    </row>
    <row r="878">
      <c r="A878" t="inlineStr">
        <is>
          <t>Year 2027</t>
        </is>
      </c>
      <c r="B878" t="inlineStr">
        <is>
          <t>C/9250A</t>
        </is>
      </c>
      <c r="C878" t="inlineStr">
        <is>
          <t>南機二區BIM服務</t>
        </is>
      </c>
      <c r="D878" t="inlineStr">
        <is>
          <t>內部</t>
        </is>
      </c>
      <c r="E878" t="inlineStr">
        <is>
          <t>內案</t>
        </is>
      </c>
      <c r="F878" s="3" t="n">
        <v>6432711</v>
      </c>
      <c r="G878" s="3" t="n">
        <v>1597561</v>
      </c>
      <c r="H878" s="3" t="n">
        <v>8030272</v>
      </c>
      <c r="I878" s="3" t="n">
        <v>0</v>
      </c>
      <c r="J878" s="3" t="n">
        <v>7497250</v>
      </c>
    </row>
    <row r="879">
      <c r="A879" t="inlineStr">
        <is>
          <t>Year 2027</t>
        </is>
      </c>
      <c r="B879" t="inlineStr">
        <is>
          <t>C/9250B</t>
        </is>
      </c>
      <c r="C879" t="inlineStr">
        <is>
          <t>璞真南港總部</t>
        </is>
      </c>
      <c r="D879" t="inlineStr">
        <is>
          <t>內部</t>
        </is>
      </c>
      <c r="E879" t="inlineStr">
        <is>
          <t>內案</t>
        </is>
      </c>
      <c r="F879" s="3" t="n">
        <v>56886</v>
      </c>
      <c r="G879" s="3" t="n">
        <v>28358</v>
      </c>
      <c r="H879" s="3" t="n">
        <v>85244</v>
      </c>
      <c r="I879" s="3" t="n">
        <v>0</v>
      </c>
      <c r="J879" s="3" t="n">
        <v>50000</v>
      </c>
    </row>
    <row r="880">
      <c r="A880" t="inlineStr">
        <is>
          <t>Year 2027</t>
        </is>
      </c>
      <c r="B880" t="inlineStr">
        <is>
          <t>C/9250C</t>
        </is>
      </c>
      <c r="C880" t="inlineStr">
        <is>
          <t>築源南港</t>
        </is>
      </c>
      <c r="D880" t="inlineStr">
        <is>
          <t>內部</t>
        </is>
      </c>
      <c r="E880" t="inlineStr">
        <is>
          <t>內案</t>
        </is>
      </c>
      <c r="F880" s="3" t="n">
        <v>1128723</v>
      </c>
      <c r="G880" s="3" t="n">
        <v>527615</v>
      </c>
      <c r="H880" s="3" t="n">
        <v>1656338</v>
      </c>
      <c r="I880" s="3" t="n">
        <v>0</v>
      </c>
      <c r="J880" s="3" t="n">
        <v>1289500</v>
      </c>
    </row>
    <row r="881">
      <c r="A881" t="inlineStr">
        <is>
          <t>Year 2027</t>
        </is>
      </c>
      <c r="B881" t="inlineStr">
        <is>
          <t>C/9250D</t>
        </is>
      </c>
      <c r="C881" t="inlineStr">
        <is>
          <t>南港三重</t>
        </is>
      </c>
      <c r="D881" t="inlineStr">
        <is>
          <t>內部</t>
        </is>
      </c>
      <c r="E881" t="inlineStr">
        <is>
          <t>內案</t>
        </is>
      </c>
      <c r="F881" s="3" t="n">
        <v>667470</v>
      </c>
      <c r="G881" s="3" t="n">
        <v>304226</v>
      </c>
      <c r="H881" s="3" t="n">
        <v>971696</v>
      </c>
      <c r="I881" s="3" t="n">
        <v>0</v>
      </c>
      <c r="J881" s="3" t="n">
        <v>640000</v>
      </c>
    </row>
    <row r="882">
      <c r="A882" t="inlineStr">
        <is>
          <t>Year 2027</t>
        </is>
      </c>
      <c r="B882" t="inlineStr">
        <is>
          <t>C/9260A</t>
        </is>
      </c>
      <c r="C882" t="inlineStr">
        <is>
          <t>台中楓溪</t>
        </is>
      </c>
      <c r="D882" t="inlineStr">
        <is>
          <t>內部</t>
        </is>
      </c>
      <c r="E882" t="inlineStr">
        <is>
          <t>內案</t>
        </is>
      </c>
      <c r="F882" s="3" t="n">
        <v>605407</v>
      </c>
      <c r="G882" s="3" t="n">
        <v>275804</v>
      </c>
      <c r="H882" s="3" t="n">
        <v>881211</v>
      </c>
      <c r="I882" s="3" t="n">
        <v>0</v>
      </c>
      <c r="J882" s="3" t="n">
        <v>1574000</v>
      </c>
    </row>
    <row r="883">
      <c r="A883" t="inlineStr">
        <is>
          <t>Year 2027</t>
        </is>
      </c>
      <c r="B883" t="inlineStr">
        <is>
          <t>C/9260B</t>
        </is>
      </c>
      <c r="C883" t="inlineStr">
        <is>
          <t>樺輝永鑄</t>
        </is>
      </c>
      <c r="D883" t="inlineStr">
        <is>
          <t>內部</t>
        </is>
      </c>
      <c r="E883" t="inlineStr">
        <is>
          <t>內案</t>
        </is>
      </c>
      <c r="F883" s="3" t="n">
        <v>1691648</v>
      </c>
      <c r="G883" s="3" t="n">
        <v>329806</v>
      </c>
      <c r="H883" s="3" t="n">
        <v>2021454</v>
      </c>
      <c r="I883" s="3" t="n">
        <v>0</v>
      </c>
      <c r="J883" s="3" t="n">
        <v>2854000</v>
      </c>
    </row>
    <row r="884">
      <c r="A884" t="inlineStr">
        <is>
          <t>Year 2027</t>
        </is>
      </c>
      <c r="B884" t="inlineStr">
        <is>
          <t>C/9260C</t>
        </is>
      </c>
      <c r="C884" t="inlineStr">
        <is>
          <t>中華郵政信維</t>
        </is>
      </c>
      <c r="D884" t="inlineStr">
        <is>
          <t>內部</t>
        </is>
      </c>
      <c r="E884" t="inlineStr">
        <is>
          <t>內案</t>
        </is>
      </c>
      <c r="F884" s="3" t="n">
        <v>1474436</v>
      </c>
      <c r="G884" s="3" t="n">
        <v>636934</v>
      </c>
      <c r="H884" s="3" t="n">
        <v>2111370</v>
      </c>
      <c r="I884" s="3" t="n">
        <v>0</v>
      </c>
      <c r="J884" s="3" t="n">
        <v>3207500</v>
      </c>
    </row>
    <row r="885">
      <c r="A885" t="inlineStr">
        <is>
          <t>Year 2027</t>
        </is>
      </c>
      <c r="B885" t="inlineStr">
        <is>
          <t>C/9260D</t>
        </is>
      </c>
      <c r="C885" t="inlineStr">
        <is>
          <t>大安復興</t>
        </is>
      </c>
      <c r="D885" t="inlineStr">
        <is>
          <t>內部</t>
        </is>
      </c>
      <c r="E885" t="inlineStr">
        <is>
          <t>內案</t>
        </is>
      </c>
      <c r="F885" s="3" t="n">
        <v>388819</v>
      </c>
      <c r="G885" s="3" t="n">
        <v>154480</v>
      </c>
      <c r="H885" s="3" t="n">
        <v>543299</v>
      </c>
      <c r="I885" s="3" t="n">
        <v>0</v>
      </c>
      <c r="J885" s="3" t="n">
        <v>1050000</v>
      </c>
    </row>
    <row r="886">
      <c r="A886" t="inlineStr">
        <is>
          <t>Year 2027</t>
        </is>
      </c>
      <c r="B886" t="inlineStr">
        <is>
          <t>C/9100B_26</t>
        </is>
      </c>
      <c r="C886" t="inlineStr">
        <is>
          <t>新取得BIM建築-26年</t>
        </is>
      </c>
      <c r="D886" t="inlineStr">
        <is>
          <t>內部</t>
        </is>
      </c>
      <c r="E886" t="inlineStr">
        <is>
          <t>內案</t>
        </is>
      </c>
      <c r="F886" s="3" t="n">
        <v>0</v>
      </c>
      <c r="G886" s="3" t="n">
        <v>0</v>
      </c>
      <c r="H886" s="3" t="n">
        <v>0</v>
      </c>
      <c r="I886" s="3" t="n">
        <v>0</v>
      </c>
      <c r="J886" s="3" t="n">
        <v>0</v>
      </c>
    </row>
    <row r="887">
      <c r="A887" t="inlineStr">
        <is>
          <t>Year 2027</t>
        </is>
      </c>
      <c r="B887" t="inlineStr">
        <is>
          <t>C/9100A_27</t>
        </is>
      </c>
      <c r="C887" t="inlineStr">
        <is>
          <t>新取得BIM建築-26年</t>
        </is>
      </c>
      <c r="D887" t="inlineStr">
        <is>
          <t>內部</t>
        </is>
      </c>
      <c r="E887" t="inlineStr">
        <is>
          <t>內案</t>
        </is>
      </c>
      <c r="F887" s="3" t="n">
        <v>0</v>
      </c>
      <c r="G887" s="3" t="n">
        <v>0</v>
      </c>
      <c r="H887" s="3" t="n">
        <v>0</v>
      </c>
      <c r="I887" s="3" t="n">
        <v>0</v>
      </c>
      <c r="J887" s="3" t="n">
        <v>0</v>
      </c>
    </row>
    <row r="888">
      <c r="A888" t="inlineStr">
        <is>
          <t>Year 2027</t>
        </is>
      </c>
      <c r="B888" t="inlineStr">
        <is>
          <t>C/9100B_27</t>
        </is>
      </c>
      <c r="C888" t="inlineStr">
        <is>
          <t>新取得BIM建築-27年</t>
        </is>
      </c>
      <c r="D888" t="inlineStr">
        <is>
          <t>內部</t>
        </is>
      </c>
      <c r="E888" t="inlineStr">
        <is>
          <t>內案</t>
        </is>
      </c>
      <c r="F888" s="3" t="n">
        <v>9112650</v>
      </c>
      <c r="G888" s="3" t="n">
        <v>3449254</v>
      </c>
      <c r="H888" s="3" t="n">
        <v>12561904</v>
      </c>
      <c r="I888" s="3" t="n">
        <v>0</v>
      </c>
      <c r="J888" s="3" t="n">
        <v>13562500</v>
      </c>
    </row>
    <row r="889">
      <c r="A889" t="inlineStr">
        <is>
          <t>Year 2027</t>
        </is>
      </c>
      <c r="B889" t="inlineStr">
        <is>
          <t>C/9100C_27</t>
        </is>
      </c>
      <c r="C889" t="inlineStr">
        <is>
          <t>新取得BIM建築-28年</t>
        </is>
      </c>
      <c r="D889" t="inlineStr">
        <is>
          <t>內部</t>
        </is>
      </c>
      <c r="E889" t="inlineStr">
        <is>
          <t>內案</t>
        </is>
      </c>
      <c r="F889" s="3" t="n">
        <v>0</v>
      </c>
      <c r="G889" s="3" t="n">
        <v>0</v>
      </c>
      <c r="H889" s="3" t="n">
        <v>0</v>
      </c>
      <c r="I889" s="3" t="n">
        <v>0</v>
      </c>
      <c r="J889" s="3" t="n">
        <v>0</v>
      </c>
    </row>
    <row r="890">
      <c r="A890" t="inlineStr">
        <is>
          <t>Year 2027</t>
        </is>
      </c>
      <c r="B890" t="inlineStr">
        <is>
          <t>C/9100D_27</t>
        </is>
      </c>
      <c r="C890" t="inlineStr">
        <is>
          <t>新取得BIM建築-29年</t>
        </is>
      </c>
      <c r="D890" t="inlineStr">
        <is>
          <t>內部</t>
        </is>
      </c>
      <c r="E890" t="inlineStr">
        <is>
          <t>內案</t>
        </is>
      </c>
      <c r="F890" s="3" t="n">
        <v>0</v>
      </c>
      <c r="G890" s="3" t="n">
        <v>0</v>
      </c>
      <c r="H890" s="3" t="n">
        <v>0</v>
      </c>
      <c r="I890" s="3" t="n">
        <v>0</v>
      </c>
      <c r="J890" s="3" t="n">
        <v>0</v>
      </c>
    </row>
    <row r="891">
      <c r="A891" t="inlineStr">
        <is>
          <t>Year 2027</t>
        </is>
      </c>
      <c r="B891" t="inlineStr">
        <is>
          <t>C/9100E_27</t>
        </is>
      </c>
      <c r="C891" t="inlineStr">
        <is>
          <t>新取得BIM建築-30年</t>
        </is>
      </c>
      <c r="D891" t="inlineStr">
        <is>
          <t>內部</t>
        </is>
      </c>
      <c r="E891" t="inlineStr">
        <is>
          <t>內案</t>
        </is>
      </c>
      <c r="F891" s="3" t="n">
        <v>0</v>
      </c>
      <c r="G891" s="3" t="n">
        <v>0</v>
      </c>
      <c r="H891" s="3" t="n">
        <v>0</v>
      </c>
      <c r="I891" s="3" t="n">
        <v>0</v>
      </c>
      <c r="J891" s="3" t="n">
        <v>0</v>
      </c>
    </row>
    <row r="892">
      <c r="A892" t="inlineStr">
        <is>
          <t>Year 2027</t>
        </is>
      </c>
      <c r="B892" t="inlineStr">
        <is>
          <t>C/9100F_27</t>
        </is>
      </c>
      <c r="C892" t="inlineStr">
        <is>
          <t>新取得BIM建築-31年</t>
        </is>
      </c>
      <c r="D892" t="inlineStr">
        <is>
          <t>內部</t>
        </is>
      </c>
      <c r="E892" t="inlineStr">
        <is>
          <t>內案</t>
        </is>
      </c>
      <c r="F892" s="3" t="n">
        <v>0</v>
      </c>
      <c r="G892" s="3" t="n">
        <v>0</v>
      </c>
      <c r="H892" s="3" t="n">
        <v>0</v>
      </c>
      <c r="I892" s="3" t="n">
        <v>0</v>
      </c>
      <c r="J892" s="3" t="n">
        <v>0</v>
      </c>
    </row>
    <row r="893">
      <c r="A893" t="inlineStr">
        <is>
          <t>Year 2027</t>
        </is>
      </c>
      <c r="B893" t="inlineStr">
        <is>
          <t>C/99992</t>
        </is>
      </c>
      <c r="C893" t="inlineStr">
        <is>
          <t>雜項BIM土木機電</t>
        </is>
      </c>
      <c r="D893" t="inlineStr">
        <is>
          <t>內/無</t>
        </is>
      </c>
      <c r="E893" t="inlineStr">
        <is>
          <t>雜項</t>
        </is>
      </c>
      <c r="F893" s="3" t="n">
        <v>285888</v>
      </c>
      <c r="G893" s="3" t="n">
        <v>68112</v>
      </c>
      <c r="H893" s="3" t="n">
        <v>354000</v>
      </c>
      <c r="I893" s="3" t="n">
        <v>0</v>
      </c>
      <c r="J893" s="3" t="n">
        <v>354000</v>
      </c>
    </row>
    <row r="894">
      <c r="A894" t="inlineStr">
        <is>
          <t>Year 2027</t>
        </is>
      </c>
      <c r="B894" t="inlineStr">
        <is>
          <t>C/99992-1</t>
        </is>
      </c>
      <c r="C894" t="inlineStr">
        <is>
          <t>雜項BIM土木機電(外案收入)</t>
        </is>
      </c>
      <c r="D894" t="inlineStr">
        <is>
          <t>外部</t>
        </is>
      </c>
      <c r="E894" t="inlineStr">
        <is>
          <t>外案</t>
        </is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</row>
    <row r="895">
      <c r="A895" t="inlineStr">
        <is>
          <t>Year 2027</t>
        </is>
      </c>
      <c r="B895" t="inlineStr">
        <is>
          <t>C/99993</t>
        </is>
      </c>
      <c r="C895" t="inlineStr">
        <is>
          <t>備標BIM土木機電</t>
        </is>
      </c>
      <c r="D895" t="inlineStr">
        <is>
          <t>備標</t>
        </is>
      </c>
      <c r="E895" t="inlineStr">
        <is>
          <t>備標</t>
        </is>
      </c>
      <c r="F895" s="3" t="n">
        <v>714732</v>
      </c>
      <c r="G895" s="3" t="n">
        <v>485268</v>
      </c>
      <c r="H895" s="3" t="n">
        <v>1200000</v>
      </c>
      <c r="I895" s="3" t="n">
        <v>0</v>
      </c>
      <c r="J895" s="3" t="n">
        <v>1200000</v>
      </c>
    </row>
    <row r="896">
      <c r="A896" t="inlineStr">
        <is>
          <t>Year 2027</t>
        </is>
      </c>
      <c r="B896" t="inlineStr">
        <is>
          <t>C/9999B</t>
        </is>
      </c>
      <c r="C896" t="inlineStr">
        <is>
          <t>雜項BIM建築</t>
        </is>
      </c>
      <c r="D896" t="inlineStr">
        <is>
          <t>內/無</t>
        </is>
      </c>
      <c r="E896" t="inlineStr">
        <is>
          <t>雜項</t>
        </is>
      </c>
      <c r="F896" s="3" t="n">
        <v>994018</v>
      </c>
      <c r="G896" s="3" t="n">
        <v>270982</v>
      </c>
      <c r="H896" s="3" t="n">
        <v>1265000</v>
      </c>
      <c r="I896" s="3" t="n">
        <v>0</v>
      </c>
      <c r="J896" s="3" t="n">
        <v>1265000</v>
      </c>
    </row>
    <row r="897">
      <c r="A897" t="inlineStr">
        <is>
          <t>Year 2027</t>
        </is>
      </c>
      <c r="B897" t="inlineStr">
        <is>
          <t>C/9999D</t>
        </is>
      </c>
      <c r="C897" t="inlineStr">
        <is>
          <t>備標BIM建築</t>
        </is>
      </c>
      <c r="D897" t="inlineStr">
        <is>
          <t>備標</t>
        </is>
      </c>
      <c r="E897" t="inlineStr">
        <is>
          <t>備標</t>
        </is>
      </c>
      <c r="F897" s="3" t="n">
        <v>150353</v>
      </c>
      <c r="G897" s="3" t="n">
        <v>24647</v>
      </c>
      <c r="H897" s="3" t="n">
        <v>175000</v>
      </c>
      <c r="I897" s="3" t="n">
        <v>0</v>
      </c>
      <c r="J897" s="3" t="n">
        <v>175000</v>
      </c>
    </row>
    <row r="898">
      <c r="A898" t="inlineStr">
        <is>
          <t>累計 Year 2027</t>
        </is>
      </c>
      <c r="B898" t="inlineStr">
        <is>
          <t>C/92103</t>
        </is>
      </c>
      <c r="C898" t="inlineStr">
        <is>
          <t>CQ840 BIM</t>
        </is>
      </c>
      <c r="D898" t="inlineStr">
        <is>
          <t>內部</t>
        </is>
      </c>
      <c r="E898" t="inlineStr">
        <is>
          <t>內案</t>
        </is>
      </c>
      <c r="F898" s="3" t="n">
        <v>1966785</v>
      </c>
      <c r="G898" s="3" t="n">
        <v>-334392</v>
      </c>
      <c r="H898" s="3" t="n">
        <v>1632393</v>
      </c>
      <c r="I898" s="3" t="n">
        <v>0</v>
      </c>
      <c r="J898" s="3" t="n">
        <v>1632393</v>
      </c>
    </row>
    <row r="899">
      <c r="A899" t="inlineStr">
        <is>
          <t>累計 Year 2027</t>
        </is>
      </c>
      <c r="B899" t="inlineStr">
        <is>
          <t>C/92202</t>
        </is>
      </c>
      <c r="C899" t="inlineStr">
        <is>
          <t>CF680C BIM</t>
        </is>
      </c>
      <c r="D899" t="inlineStr">
        <is>
          <t>內部</t>
        </is>
      </c>
      <c r="E899" t="inlineStr">
        <is>
          <t>內案</t>
        </is>
      </c>
      <c r="F899" s="3" t="n">
        <v>11099553</v>
      </c>
      <c r="G899" s="3" t="n">
        <v>5337540</v>
      </c>
      <c r="H899" s="3" t="n">
        <v>16437093</v>
      </c>
      <c r="I899" s="3" t="n">
        <v>0</v>
      </c>
      <c r="J899" s="3" t="n">
        <v>17808000</v>
      </c>
    </row>
    <row r="900">
      <c r="A900" t="inlineStr">
        <is>
          <t>累計 Year 2027</t>
        </is>
      </c>
      <c r="B900" t="inlineStr">
        <is>
          <t>C/92203</t>
        </is>
      </c>
      <c r="C900" t="inlineStr">
        <is>
          <t>N－WH BIM</t>
        </is>
      </c>
      <c r="D900" t="inlineStr">
        <is>
          <t>內部</t>
        </is>
      </c>
      <c r="E900" t="inlineStr">
        <is>
          <t>內案</t>
        </is>
      </c>
      <c r="F900" s="3" t="n">
        <v>6299564</v>
      </c>
      <c r="G900" s="3" t="n">
        <v>2176843</v>
      </c>
      <c r="H900" s="3" t="n">
        <v>8476407</v>
      </c>
      <c r="I900" s="3" t="n">
        <v>0</v>
      </c>
      <c r="J900" s="3" t="n">
        <v>10982550</v>
      </c>
    </row>
    <row r="901">
      <c r="A901" t="inlineStr">
        <is>
          <t>累計 Year 2027</t>
        </is>
      </c>
      <c r="B901" t="inlineStr">
        <is>
          <t>C/92204</t>
        </is>
      </c>
      <c r="C901" t="inlineStr">
        <is>
          <t>國揚吉林機電</t>
        </is>
      </c>
      <c r="D901" t="inlineStr">
        <is>
          <t>內部</t>
        </is>
      </c>
      <c r="E901" t="inlineStr">
        <is>
          <t>內案</t>
        </is>
      </c>
      <c r="F901" s="3" t="n">
        <v>1258917</v>
      </c>
      <c r="G901" s="3" t="n">
        <v>691083</v>
      </c>
      <c r="H901" s="3" t="n">
        <v>1950000</v>
      </c>
      <c r="I901" s="3" t="n">
        <v>0</v>
      </c>
      <c r="J901" s="3" t="n">
        <v>1950000</v>
      </c>
    </row>
    <row r="902">
      <c r="A902" t="inlineStr">
        <is>
          <t>累計 Year 2027</t>
        </is>
      </c>
      <c r="B902" t="inlineStr">
        <is>
          <t>C/92301</t>
        </is>
      </c>
      <c r="C902" t="inlineStr">
        <is>
          <t>CF670A BIM 土木機電</t>
        </is>
      </c>
      <c r="D902" t="inlineStr">
        <is>
          <t>內部</t>
        </is>
      </c>
      <c r="E902" t="inlineStr">
        <is>
          <t>內案</t>
        </is>
      </c>
      <c r="F902" s="3" t="n">
        <v>9037485</v>
      </c>
      <c r="G902" s="3" t="n">
        <v>1037994</v>
      </c>
      <c r="H902" s="3" t="n">
        <v>10075479</v>
      </c>
      <c r="I902" s="3" t="n">
        <v>0</v>
      </c>
      <c r="J902" s="3" t="n">
        <v>12357000</v>
      </c>
    </row>
    <row r="903">
      <c r="A903" t="inlineStr">
        <is>
          <t>累計 Year 2027</t>
        </is>
      </c>
      <c r="B903" t="inlineStr">
        <is>
          <t>C/92302</t>
        </is>
      </c>
      <c r="C903" t="inlineStr">
        <is>
          <t>富邦忠孝懷生BIM機電</t>
        </is>
      </c>
      <c r="D903" t="inlineStr">
        <is>
          <t>內部</t>
        </is>
      </c>
      <c r="E903" t="inlineStr">
        <is>
          <t>內案</t>
        </is>
      </c>
      <c r="F903" s="3" t="n">
        <v>4575503</v>
      </c>
      <c r="G903" s="3" t="n">
        <v>-195503</v>
      </c>
      <c r="H903" s="3" t="n">
        <v>4380000</v>
      </c>
      <c r="I903" s="3" t="n">
        <v>0</v>
      </c>
      <c r="J903" s="3" t="n">
        <v>4380000</v>
      </c>
    </row>
    <row r="904">
      <c r="A904" t="inlineStr">
        <is>
          <t>累計 Year 2027</t>
        </is>
      </c>
      <c r="B904" t="inlineStr">
        <is>
          <t>C/92303</t>
        </is>
      </c>
      <c r="C904" t="inlineStr">
        <is>
          <t>信義兒福BIM機電</t>
        </is>
      </c>
      <c r="D904" t="inlineStr">
        <is>
          <t>外部</t>
        </is>
      </c>
      <c r="E904" t="inlineStr">
        <is>
          <t>外案</t>
        </is>
      </c>
      <c r="F904" s="3" t="n">
        <v>1853177</v>
      </c>
      <c r="G904" s="3" t="n">
        <v>448038</v>
      </c>
      <c r="H904" s="3" t="n">
        <v>2301215</v>
      </c>
      <c r="I904" s="3" t="n">
        <v>0</v>
      </c>
      <c r="J904" s="3" t="n">
        <v>2255500</v>
      </c>
    </row>
    <row r="905">
      <c r="A905" t="inlineStr">
        <is>
          <t>累計 Year 2027</t>
        </is>
      </c>
      <c r="B905" t="inlineStr">
        <is>
          <t>C/92304</t>
        </is>
      </c>
      <c r="C905" t="inlineStr">
        <is>
          <t>捷運劍潭站TOD統包BIM機電</t>
        </is>
      </c>
      <c r="D905" t="inlineStr">
        <is>
          <t>內部</t>
        </is>
      </c>
      <c r="E905" t="inlineStr">
        <is>
          <t>內案</t>
        </is>
      </c>
      <c r="F905" s="3" t="n">
        <v>7041372</v>
      </c>
      <c r="G905" s="3" t="n">
        <v>758628</v>
      </c>
      <c r="H905" s="3" t="n">
        <v>7800000</v>
      </c>
      <c r="I905" s="3" t="n">
        <v>0</v>
      </c>
      <c r="J905" s="3" t="n">
        <v>7800000</v>
      </c>
    </row>
    <row r="906">
      <c r="A906" t="inlineStr">
        <is>
          <t>累計 Year 2027</t>
        </is>
      </c>
      <c r="B906" t="inlineStr">
        <is>
          <t>C/92401</t>
        </is>
      </c>
      <c r="C906" t="inlineStr">
        <is>
          <t>CJ17 土木機電</t>
        </is>
      </c>
      <c r="D906" t="inlineStr">
        <is>
          <t>內部</t>
        </is>
      </c>
      <c r="E906" t="inlineStr">
        <is>
          <t>內案</t>
        </is>
      </c>
      <c r="F906" s="3" t="n">
        <v>6531387</v>
      </c>
      <c r="G906" s="3" t="n">
        <v>3162097</v>
      </c>
      <c r="H906" s="3" t="n">
        <v>9693484</v>
      </c>
      <c r="I906" s="3" t="n">
        <v>0</v>
      </c>
      <c r="J906" s="3" t="n">
        <v>14093000</v>
      </c>
    </row>
    <row r="907">
      <c r="A907" t="inlineStr">
        <is>
          <t>累計 Year 2027</t>
        </is>
      </c>
      <c r="B907" t="inlineStr">
        <is>
          <t>C/92501</t>
        </is>
      </c>
      <c r="C907" t="inlineStr">
        <is>
          <t>CF670 BIM土木機電</t>
        </is>
      </c>
      <c r="D907" t="inlineStr">
        <is>
          <t>內部</t>
        </is>
      </c>
      <c r="E907" t="inlineStr">
        <is>
          <t>內案</t>
        </is>
      </c>
      <c r="F907" s="3" t="n">
        <v>6823838</v>
      </c>
      <c r="G907" s="3" t="n">
        <v>3258656</v>
      </c>
      <c r="H907" s="3" t="n">
        <v>10082494</v>
      </c>
      <c r="I907" s="3" t="n">
        <v>0</v>
      </c>
      <c r="J907" s="3" t="n">
        <v>11684500</v>
      </c>
    </row>
    <row r="908">
      <c r="A908" t="inlineStr">
        <is>
          <t>累計 Year 2027</t>
        </is>
      </c>
      <c r="B908" t="inlineStr">
        <is>
          <t>C/92502</t>
        </is>
      </c>
      <c r="C908" t="inlineStr">
        <is>
          <t>擎邦-聯發科機電</t>
        </is>
      </c>
      <c r="D908" t="inlineStr">
        <is>
          <t>外部</t>
        </is>
      </c>
      <c r="E908" t="inlineStr">
        <is>
          <t>外案</t>
        </is>
      </c>
      <c r="F908" s="3" t="n">
        <v>2812703</v>
      </c>
      <c r="G908" s="3" t="n">
        <v>2187297</v>
      </c>
      <c r="H908" s="3" t="n">
        <v>5000000</v>
      </c>
      <c r="I908" s="3" t="n">
        <v>0</v>
      </c>
      <c r="J908" s="3" t="n">
        <v>5000000</v>
      </c>
    </row>
    <row r="909">
      <c r="A909" t="inlineStr">
        <is>
          <t>累計 Year 2027</t>
        </is>
      </c>
      <c r="B909" t="inlineStr">
        <is>
          <t>C/92503</t>
        </is>
      </c>
      <c r="C909" t="inlineStr">
        <is>
          <t>CF690B BIM土木</t>
        </is>
      </c>
      <c r="D909" t="inlineStr">
        <is>
          <t>外部</t>
        </is>
      </c>
      <c r="E909" t="inlineStr">
        <is>
          <t>外案</t>
        </is>
      </c>
      <c r="F909" s="3" t="n">
        <v>1034003</v>
      </c>
      <c r="G909" s="3" t="n">
        <v>431149</v>
      </c>
      <c r="H909" s="3" t="n">
        <v>1465152</v>
      </c>
      <c r="I909" s="3" t="n">
        <v>0</v>
      </c>
      <c r="J909" s="3" t="n">
        <v>4560000</v>
      </c>
    </row>
    <row r="910">
      <c r="A910" t="inlineStr">
        <is>
          <t>累計 Year 2027</t>
        </is>
      </c>
      <c r="B910" t="inlineStr">
        <is>
          <t>C/92504</t>
        </is>
      </c>
      <c r="C910" t="inlineStr">
        <is>
          <t>擎邦-員榮總醫院BIM</t>
        </is>
      </c>
      <c r="D910" t="inlineStr">
        <is>
          <t>外部</t>
        </is>
      </c>
      <c r="E910" t="inlineStr">
        <is>
          <t>外案</t>
        </is>
      </c>
      <c r="F910" s="3" t="n">
        <v>6304845</v>
      </c>
      <c r="G910" s="3" t="n">
        <v>3095155</v>
      </c>
      <c r="H910" s="3" t="n">
        <v>9400000</v>
      </c>
      <c r="I910" s="3" t="n">
        <v>0</v>
      </c>
      <c r="J910" s="3" t="n">
        <v>9400000</v>
      </c>
    </row>
    <row r="911">
      <c r="A911" t="inlineStr">
        <is>
          <t>累計 Year 2027</t>
        </is>
      </c>
      <c r="B911" t="inlineStr">
        <is>
          <t>C/92601</t>
        </is>
      </c>
      <c r="C911" t="inlineStr">
        <is>
          <t>擎邦-聯發科銅鑼</t>
        </is>
      </c>
      <c r="D911" t="inlineStr">
        <is>
          <t>外部</t>
        </is>
      </c>
      <c r="E911" t="inlineStr">
        <is>
          <t>外案</t>
        </is>
      </c>
      <c r="F911" s="3" t="n">
        <v>575468</v>
      </c>
      <c r="G911" s="3" t="n">
        <v>754532</v>
      </c>
      <c r="H911" s="3" t="n">
        <v>1330000</v>
      </c>
      <c r="I911" s="3" t="n">
        <v>0</v>
      </c>
      <c r="J911" s="3" t="n">
        <v>1330000</v>
      </c>
    </row>
    <row r="912">
      <c r="A912" t="inlineStr">
        <is>
          <t>累計 Year 2027</t>
        </is>
      </c>
      <c r="B912" t="inlineStr">
        <is>
          <t>C/92602</t>
        </is>
      </c>
      <c r="C912" t="inlineStr">
        <is>
          <t>擎邦-CF624F機電(CF690B機電)</t>
        </is>
      </c>
      <c r="D912" t="inlineStr">
        <is>
          <t>外部</t>
        </is>
      </c>
      <c r="E912" t="inlineStr">
        <is>
          <t>外案</t>
        </is>
      </c>
      <c r="F912" s="3" t="n">
        <v>2913014</v>
      </c>
      <c r="G912" s="3" t="n">
        <v>1359249</v>
      </c>
      <c r="H912" s="3" t="n">
        <v>4272263</v>
      </c>
      <c r="I912" s="3" t="n">
        <v>0</v>
      </c>
      <c r="J912" s="3" t="n">
        <v>4254000</v>
      </c>
    </row>
    <row r="913">
      <c r="A913" t="inlineStr">
        <is>
          <t>累計 Year 2027</t>
        </is>
      </c>
      <c r="B913" t="inlineStr">
        <is>
          <t>C/92603</t>
        </is>
      </c>
      <c r="C913" t="inlineStr">
        <is>
          <t>中華郵政信維機電</t>
        </is>
      </c>
      <c r="D913" t="inlineStr">
        <is>
          <t>內部</t>
        </is>
      </c>
      <c r="E913" t="inlineStr">
        <is>
          <t>內案</t>
        </is>
      </c>
      <c r="F913" s="3" t="n">
        <v>2765624</v>
      </c>
      <c r="G913" s="3" t="n">
        <v>1357817</v>
      </c>
      <c r="H913" s="3" t="n">
        <v>4123441</v>
      </c>
      <c r="I913" s="3" t="n">
        <v>0</v>
      </c>
      <c r="J913" s="3" t="n">
        <v>4704000</v>
      </c>
    </row>
    <row r="914">
      <c r="A914" t="inlineStr">
        <is>
          <t>累計 Year 2027</t>
        </is>
      </c>
      <c r="B914" t="inlineStr">
        <is>
          <t>C/91001_26</t>
        </is>
      </c>
      <c r="C914" t="inlineStr">
        <is>
          <t>新取得BIM土木機電-26年</t>
        </is>
      </c>
      <c r="D914" t="inlineStr">
        <is>
          <t>內部</t>
        </is>
      </c>
      <c r="E914" t="inlineStr">
        <is>
          <t>內案</t>
        </is>
      </c>
      <c r="F914" s="3" t="n">
        <v>0</v>
      </c>
      <c r="G914" s="3" t="n">
        <v>0</v>
      </c>
      <c r="H914" s="3" t="n">
        <v>0</v>
      </c>
      <c r="I914" s="3" t="n">
        <v>0</v>
      </c>
      <c r="J914" s="3" t="n">
        <v>0</v>
      </c>
    </row>
    <row r="915">
      <c r="A915" t="inlineStr">
        <is>
          <t>累計 Year 2027</t>
        </is>
      </c>
      <c r="B915" t="inlineStr">
        <is>
          <t>C/91000_27</t>
        </is>
      </c>
      <c r="C915" t="inlineStr">
        <is>
          <t>新取得BIM土木機電-26年</t>
        </is>
      </c>
      <c r="D915" t="inlineStr">
        <is>
          <t>內部</t>
        </is>
      </c>
      <c r="E915" t="inlineStr">
        <is>
          <t>內案</t>
        </is>
      </c>
      <c r="F915" s="3" t="n">
        <v>0</v>
      </c>
      <c r="G915" s="3" t="n">
        <v>0</v>
      </c>
      <c r="H915" s="3" t="n">
        <v>0</v>
      </c>
      <c r="I915" s="3" t="n">
        <v>0</v>
      </c>
      <c r="J915" s="3" t="n">
        <v>0</v>
      </c>
    </row>
    <row r="916">
      <c r="A916" t="inlineStr">
        <is>
          <t>累計 Year 2027</t>
        </is>
      </c>
      <c r="B916" t="inlineStr">
        <is>
          <t>C/91001_27</t>
        </is>
      </c>
      <c r="C916" t="inlineStr">
        <is>
          <t>新取得BIM土木機電-27年</t>
        </is>
      </c>
      <c r="D916" t="inlineStr">
        <is>
          <t>內部</t>
        </is>
      </c>
      <c r="E916" t="inlineStr">
        <is>
          <t>內案</t>
        </is>
      </c>
      <c r="F916" s="3" t="n">
        <v>4288356</v>
      </c>
      <c r="G916" s="3" t="n">
        <v>2147223</v>
      </c>
      <c r="H916" s="3" t="n">
        <v>6435579</v>
      </c>
      <c r="I916" s="3" t="n">
        <v>0</v>
      </c>
      <c r="J916" s="3" t="n">
        <v>2874000</v>
      </c>
    </row>
    <row r="917">
      <c r="A917" t="inlineStr">
        <is>
          <t>累計 Year 2027</t>
        </is>
      </c>
      <c r="B917" t="inlineStr">
        <is>
          <t>C/91002_27</t>
        </is>
      </c>
      <c r="C917" t="inlineStr">
        <is>
          <t>新取得BIM土木機電-28年</t>
        </is>
      </c>
      <c r="D917" t="inlineStr">
        <is>
          <t>內部</t>
        </is>
      </c>
      <c r="E917" t="inlineStr">
        <is>
          <t>內案</t>
        </is>
      </c>
      <c r="F917" s="3" t="n">
        <v>0</v>
      </c>
      <c r="G917" s="3" t="n">
        <v>0</v>
      </c>
      <c r="H917" s="3" t="n">
        <v>0</v>
      </c>
      <c r="I917" s="3" t="n">
        <v>0</v>
      </c>
      <c r="J917" s="3" t="n">
        <v>0</v>
      </c>
    </row>
    <row r="918">
      <c r="A918" t="inlineStr">
        <is>
          <t>累計 Year 2027</t>
        </is>
      </c>
      <c r="B918" t="inlineStr">
        <is>
          <t>C/91003_27</t>
        </is>
      </c>
      <c r="C918" t="inlineStr">
        <is>
          <t>新取得BIM土木機電-29年</t>
        </is>
      </c>
      <c r="D918" t="inlineStr">
        <is>
          <t>內部</t>
        </is>
      </c>
      <c r="E918" t="inlineStr">
        <is>
          <t>內案</t>
        </is>
      </c>
      <c r="F918" s="3" t="n">
        <v>0</v>
      </c>
      <c r="G918" s="3" t="n">
        <v>0</v>
      </c>
      <c r="H918" s="3" t="n">
        <v>0</v>
      </c>
      <c r="I918" s="3" t="n">
        <v>0</v>
      </c>
      <c r="J918" s="3" t="n">
        <v>0</v>
      </c>
    </row>
    <row r="919">
      <c r="A919" t="inlineStr">
        <is>
          <t>累計 Year 2027</t>
        </is>
      </c>
      <c r="B919" t="inlineStr">
        <is>
          <t>C/91004_27</t>
        </is>
      </c>
      <c r="C919" t="inlineStr">
        <is>
          <t>新取得BIM土木機電-30年</t>
        </is>
      </c>
      <c r="D919" t="inlineStr">
        <is>
          <t>內部</t>
        </is>
      </c>
      <c r="E919" t="inlineStr">
        <is>
          <t>內案</t>
        </is>
      </c>
      <c r="F919" s="3" t="n">
        <v>0</v>
      </c>
      <c r="G919" s="3" t="n">
        <v>0</v>
      </c>
      <c r="H919" s="3" t="n">
        <v>0</v>
      </c>
      <c r="I919" s="3" t="n">
        <v>0</v>
      </c>
      <c r="J919" s="3" t="n">
        <v>0</v>
      </c>
    </row>
    <row r="920">
      <c r="A920" t="inlineStr">
        <is>
          <t>累計 Year 2027</t>
        </is>
      </c>
      <c r="B920" t="inlineStr">
        <is>
          <t>C/91005_27</t>
        </is>
      </c>
      <c r="C920" t="inlineStr">
        <is>
          <t>新取得BIM土木機電-31年</t>
        </is>
      </c>
      <c r="D920" t="inlineStr">
        <is>
          <t>內部</t>
        </is>
      </c>
      <c r="E920" t="inlineStr">
        <is>
          <t>內案</t>
        </is>
      </c>
      <c r="F920" s="3" t="n">
        <v>0</v>
      </c>
      <c r="G920" s="3" t="n">
        <v>0</v>
      </c>
      <c r="H920" s="3" t="n">
        <v>0</v>
      </c>
      <c r="I920" s="3" t="n">
        <v>0</v>
      </c>
      <c r="J920" s="3" t="n">
        <v>0</v>
      </c>
    </row>
    <row r="921">
      <c r="A921" t="inlineStr">
        <is>
          <t>累計 Year 2027</t>
        </is>
      </c>
      <c r="B921" t="inlineStr">
        <is>
          <t>C/9210F</t>
        </is>
      </c>
      <c r="C921" t="inlineStr">
        <is>
          <t>南港機廠BIM建築</t>
        </is>
      </c>
      <c r="D921" t="inlineStr">
        <is>
          <t>外部</t>
        </is>
      </c>
      <c r="E921" t="inlineStr">
        <is>
          <t>外案</t>
        </is>
      </c>
      <c r="F921" s="3" t="n">
        <v>7070420</v>
      </c>
      <c r="G921" s="3" t="n">
        <v>4041580</v>
      </c>
      <c r="H921" s="3" t="n">
        <v>11112000</v>
      </c>
      <c r="I921" s="3" t="n">
        <v>0</v>
      </c>
      <c r="J921" s="3" t="n">
        <v>11112000</v>
      </c>
    </row>
    <row r="922">
      <c r="A922" t="inlineStr">
        <is>
          <t>累計 Year 2027</t>
        </is>
      </c>
      <c r="B922" t="inlineStr">
        <is>
          <t>C/9210G</t>
        </is>
      </c>
      <c r="C922" t="inlineStr">
        <is>
          <t>富邦忠孝懷生BIM建築</t>
        </is>
      </c>
      <c r="D922" t="inlineStr">
        <is>
          <t>內部</t>
        </is>
      </c>
      <c r="E922" t="inlineStr">
        <is>
          <t>內案</t>
        </is>
      </c>
      <c r="F922" s="3" t="n">
        <v>8421321</v>
      </c>
      <c r="G922" s="3" t="n">
        <v>-795674</v>
      </c>
      <c r="H922" s="3" t="n">
        <v>7625647</v>
      </c>
      <c r="I922" s="3" t="n">
        <v>-20279</v>
      </c>
      <c r="J922" s="3" t="n">
        <v>7820000</v>
      </c>
    </row>
    <row r="923">
      <c r="A923" t="inlineStr">
        <is>
          <t>累計 Year 2027</t>
        </is>
      </c>
      <c r="B923" t="inlineStr">
        <is>
          <t>C/9220E</t>
        </is>
      </c>
      <c r="C923" t="inlineStr">
        <is>
          <t>柏鴻北士科 C/9100A-22A</t>
        </is>
      </c>
      <c r="D923" t="inlineStr">
        <is>
          <t>內部</t>
        </is>
      </c>
      <c r="E923" t="inlineStr">
        <is>
          <t>內案</t>
        </is>
      </c>
      <c r="F923" s="3" t="n">
        <v>2328910</v>
      </c>
      <c r="G923" s="3" t="n">
        <v>1596878</v>
      </c>
      <c r="H923" s="3" t="n">
        <v>3925788</v>
      </c>
      <c r="I923" s="3" t="n">
        <v>0</v>
      </c>
      <c r="J923" s="3" t="n">
        <v>4030000</v>
      </c>
    </row>
    <row r="924">
      <c r="A924" t="inlineStr">
        <is>
          <t>累計 Year 2027</t>
        </is>
      </c>
      <c r="B924" t="inlineStr">
        <is>
          <t>C/9230A</t>
        </is>
      </c>
      <c r="C924" t="inlineStr">
        <is>
          <t>信義兒福BIM建築</t>
        </is>
      </c>
      <c r="D924" t="inlineStr">
        <is>
          <t>外部</t>
        </is>
      </c>
      <c r="E924" t="inlineStr">
        <is>
          <t>外案</t>
        </is>
      </c>
      <c r="F924" s="3" t="n">
        <v>1854477</v>
      </c>
      <c r="G924" s="3" t="n">
        <v>736395</v>
      </c>
      <c r="H924" s="3" t="n">
        <v>2590872</v>
      </c>
      <c r="I924" s="3" t="n">
        <v>0</v>
      </c>
      <c r="J924" s="3" t="n">
        <v>2429000</v>
      </c>
    </row>
    <row r="925">
      <c r="A925" t="inlineStr">
        <is>
          <t>累計 Year 2027</t>
        </is>
      </c>
      <c r="B925" t="inlineStr">
        <is>
          <t>C/9230B</t>
        </is>
      </c>
      <c r="C925" t="inlineStr">
        <is>
          <t>北捷劍潭TOD</t>
        </is>
      </c>
      <c r="D925" t="inlineStr">
        <is>
          <t>內部</t>
        </is>
      </c>
      <c r="E925" t="inlineStr">
        <is>
          <t>內案</t>
        </is>
      </c>
      <c r="F925" s="3" t="n">
        <v>11330106</v>
      </c>
      <c r="G925" s="3" t="n">
        <v>6273272</v>
      </c>
      <c r="H925" s="3" t="n">
        <v>17603378</v>
      </c>
      <c r="I925" s="3" t="n">
        <v>0</v>
      </c>
      <c r="J925" s="3" t="n">
        <v>18600000</v>
      </c>
    </row>
    <row r="926">
      <c r="A926" t="inlineStr">
        <is>
          <t>累計 Year 2027</t>
        </is>
      </c>
      <c r="B926" t="inlineStr">
        <is>
          <t>C/9230C</t>
        </is>
      </c>
      <c r="C926" t="inlineStr">
        <is>
          <t>慶城福華-23年</t>
        </is>
      </c>
      <c r="D926" t="inlineStr">
        <is>
          <t>內部</t>
        </is>
      </c>
      <c r="E926" t="inlineStr">
        <is>
          <t>內案</t>
        </is>
      </c>
      <c r="F926" s="3" t="n">
        <v>2933733</v>
      </c>
      <c r="G926" s="3" t="n">
        <v>1595217</v>
      </c>
      <c r="H926" s="3" t="n">
        <v>4528950</v>
      </c>
      <c r="I926" s="3" t="n">
        <v>0</v>
      </c>
      <c r="J926" s="3" t="n">
        <v>4940000</v>
      </c>
    </row>
    <row r="927">
      <c r="A927" t="inlineStr">
        <is>
          <t>累計 Year 2027</t>
        </is>
      </c>
      <c r="B927" t="inlineStr">
        <is>
          <t>C/9240A</t>
        </is>
      </c>
      <c r="C927" t="inlineStr">
        <is>
          <t>南港國際一</t>
        </is>
      </c>
      <c r="D927" t="inlineStr">
        <is>
          <t>內部</t>
        </is>
      </c>
      <c r="E927" t="inlineStr">
        <is>
          <t>內案</t>
        </is>
      </c>
      <c r="F927" s="3" t="n">
        <v>16255057</v>
      </c>
      <c r="G927" s="3" t="n">
        <v>14323075</v>
      </c>
      <c r="H927" s="3" t="n">
        <v>30578132</v>
      </c>
      <c r="I927" s="3" t="n">
        <v>0</v>
      </c>
      <c r="J927" s="3" t="n">
        <v>31186000</v>
      </c>
    </row>
    <row r="928">
      <c r="A928" t="inlineStr">
        <is>
          <t>累計 Year 2027</t>
        </is>
      </c>
      <c r="B928" t="inlineStr">
        <is>
          <t>C/9240B</t>
        </is>
      </c>
      <c r="C928" t="inlineStr">
        <is>
          <t xml:space="preserve">台中洲際BIM建築 </t>
        </is>
      </c>
      <c r="D928" t="inlineStr">
        <is>
          <t>內部</t>
        </is>
      </c>
      <c r="E928" t="inlineStr">
        <is>
          <t>內案</t>
        </is>
      </c>
      <c r="F928" s="3" t="n">
        <v>1681852</v>
      </c>
      <c r="G928" s="3" t="n">
        <v>518148</v>
      </c>
      <c r="H928" s="3" t="n">
        <v>2200000</v>
      </c>
      <c r="I928" s="3" t="n">
        <v>0</v>
      </c>
      <c r="J928" s="3" t="n">
        <v>2200000</v>
      </c>
    </row>
    <row r="929">
      <c r="A929" t="inlineStr">
        <is>
          <t>累計 Year 2027</t>
        </is>
      </c>
      <c r="B929" t="inlineStr">
        <is>
          <t>C/9240C</t>
        </is>
      </c>
      <c r="C929" t="inlineStr">
        <is>
          <t xml:space="preserve">大直金泰BIM建築 </t>
        </is>
      </c>
      <c r="D929" t="inlineStr">
        <is>
          <t>內部</t>
        </is>
      </c>
      <c r="E929" t="inlineStr">
        <is>
          <t>內案</t>
        </is>
      </c>
      <c r="F929" s="3" t="n">
        <v>2266711</v>
      </c>
      <c r="G929" s="3" t="n">
        <v>510071</v>
      </c>
      <c r="H929" s="3" t="n">
        <v>2776782</v>
      </c>
      <c r="I929" s="3" t="n">
        <v>0</v>
      </c>
      <c r="J929" s="3" t="n">
        <v>3125000</v>
      </c>
    </row>
    <row r="930">
      <c r="A930" t="inlineStr">
        <is>
          <t>累計 Year 2027</t>
        </is>
      </c>
      <c r="B930" t="inlineStr">
        <is>
          <t>C/9240D</t>
        </is>
      </c>
      <c r="C930" t="inlineStr">
        <is>
          <t xml:space="preserve">板橋新雅BIM建築 </t>
        </is>
      </c>
      <c r="D930" t="inlineStr">
        <is>
          <t>內部</t>
        </is>
      </c>
      <c r="E930" t="inlineStr">
        <is>
          <t>內案</t>
        </is>
      </c>
      <c r="F930" s="3" t="n">
        <v>899848</v>
      </c>
      <c r="G930" s="3" t="n">
        <v>788507</v>
      </c>
      <c r="H930" s="3" t="n">
        <v>1688355</v>
      </c>
      <c r="I930" s="3" t="n">
        <v>0</v>
      </c>
      <c r="J930" s="3" t="n">
        <v>2042000</v>
      </c>
    </row>
    <row r="931">
      <c r="A931" t="inlineStr">
        <is>
          <t>累計 Year 2027</t>
        </is>
      </c>
      <c r="B931" t="inlineStr">
        <is>
          <t>C/9240E</t>
        </is>
      </c>
      <c r="C931" t="inlineStr">
        <is>
          <t xml:space="preserve">板橋四維BIM建築 </t>
        </is>
      </c>
      <c r="D931" t="inlineStr">
        <is>
          <t>內部</t>
        </is>
      </c>
      <c r="E931" t="inlineStr">
        <is>
          <t>內案</t>
        </is>
      </c>
      <c r="F931" s="3" t="n">
        <v>1089400</v>
      </c>
      <c r="G931" s="3" t="n">
        <v>1112600</v>
      </c>
      <c r="H931" s="3" t="n">
        <v>2202000</v>
      </c>
      <c r="I931" s="3" t="n">
        <v>0</v>
      </c>
      <c r="J931" s="3" t="n">
        <v>2202000</v>
      </c>
    </row>
    <row r="932">
      <c r="A932" t="inlineStr">
        <is>
          <t>累計 Year 2027</t>
        </is>
      </c>
      <c r="B932" t="inlineStr">
        <is>
          <t>C/9240F</t>
        </is>
      </c>
      <c r="C932" t="inlineStr">
        <is>
          <t>台中新美齊</t>
        </is>
      </c>
      <c r="D932" t="inlineStr">
        <is>
          <t>內部</t>
        </is>
      </c>
      <c r="E932" t="inlineStr">
        <is>
          <t>內案</t>
        </is>
      </c>
      <c r="F932" s="3" t="n">
        <v>1753277</v>
      </c>
      <c r="G932" s="3" t="n">
        <v>1537426</v>
      </c>
      <c r="H932" s="3" t="n">
        <v>3290703</v>
      </c>
      <c r="I932" s="3" t="n">
        <v>0</v>
      </c>
      <c r="J932" s="3" t="n">
        <v>3365000</v>
      </c>
    </row>
    <row r="933">
      <c r="A933" t="inlineStr">
        <is>
          <t>累計 Year 2027</t>
        </is>
      </c>
      <c r="B933" t="inlineStr">
        <is>
          <t>C/9240G</t>
        </is>
      </c>
      <c r="C933" t="inlineStr">
        <is>
          <t>晨禎片片山閑</t>
        </is>
      </c>
      <c r="D933" t="inlineStr">
        <is>
          <t>外部</t>
        </is>
      </c>
      <c r="E933" t="inlineStr">
        <is>
          <t>外案</t>
        </is>
      </c>
      <c r="F933" s="3" t="n">
        <v>1250140</v>
      </c>
      <c r="G933" s="3" t="n">
        <v>1797480</v>
      </c>
      <c r="H933" s="3" t="n">
        <v>3047620</v>
      </c>
      <c r="I933" s="3" t="n">
        <v>0</v>
      </c>
      <c r="J933" s="3" t="n">
        <v>3047620</v>
      </c>
    </row>
    <row r="934">
      <c r="A934" t="inlineStr">
        <is>
          <t>累計 Year 2027</t>
        </is>
      </c>
      <c r="B934" t="inlineStr">
        <is>
          <t>C/9250A</t>
        </is>
      </c>
      <c r="C934" t="inlineStr">
        <is>
          <t>南機二區BIM服務</t>
        </is>
      </c>
      <c r="D934" t="inlineStr">
        <is>
          <t>內部</t>
        </is>
      </c>
      <c r="E934" t="inlineStr">
        <is>
          <t>內案</t>
        </is>
      </c>
      <c r="F934" s="3" t="n">
        <v>15245879</v>
      </c>
      <c r="G934" s="3" t="n">
        <v>3786307</v>
      </c>
      <c r="H934" s="3" t="n">
        <v>19032186</v>
      </c>
      <c r="I934" s="3" t="n">
        <v>0</v>
      </c>
      <c r="J934" s="3" t="n">
        <v>19062000</v>
      </c>
    </row>
    <row r="935">
      <c r="A935" t="inlineStr">
        <is>
          <t>累計 Year 2027</t>
        </is>
      </c>
      <c r="B935" t="inlineStr">
        <is>
          <t>C/9250B</t>
        </is>
      </c>
      <c r="C935" t="inlineStr">
        <is>
          <t>璞真南港總部</t>
        </is>
      </c>
      <c r="D935" t="inlineStr">
        <is>
          <t>內部</t>
        </is>
      </c>
      <c r="E935" t="inlineStr">
        <is>
          <t>內案</t>
        </is>
      </c>
      <c r="F935" s="3" t="n">
        <v>1154539</v>
      </c>
      <c r="G935" s="3" t="n">
        <v>575559</v>
      </c>
      <c r="H935" s="3" t="n">
        <v>1730098</v>
      </c>
      <c r="I935" s="3" t="n">
        <v>0</v>
      </c>
      <c r="J935" s="3" t="n">
        <v>1910000</v>
      </c>
    </row>
    <row r="936">
      <c r="A936" t="inlineStr">
        <is>
          <t>累計 Year 2027</t>
        </is>
      </c>
      <c r="B936" t="inlineStr">
        <is>
          <t>C/9250C</t>
        </is>
      </c>
      <c r="C936" t="inlineStr">
        <is>
          <t>築源南港</t>
        </is>
      </c>
      <c r="D936" t="inlineStr">
        <is>
          <t>內部</t>
        </is>
      </c>
      <c r="E936" t="inlineStr">
        <is>
          <t>內案</t>
        </is>
      </c>
      <c r="F936" s="3" t="n">
        <v>2623376</v>
      </c>
      <c r="G936" s="3" t="n">
        <v>1226281</v>
      </c>
      <c r="H936" s="3" t="n">
        <v>3849657</v>
      </c>
      <c r="I936" s="3" t="n">
        <v>0</v>
      </c>
      <c r="J936" s="3" t="n">
        <v>3969500</v>
      </c>
    </row>
    <row r="937">
      <c r="A937" t="inlineStr">
        <is>
          <t>累計 Year 2027</t>
        </is>
      </c>
      <c r="B937" t="inlineStr">
        <is>
          <t>C/9250D</t>
        </is>
      </c>
      <c r="C937" t="inlineStr">
        <is>
          <t>南港三重</t>
        </is>
      </c>
      <c r="D937" t="inlineStr">
        <is>
          <t>內部</t>
        </is>
      </c>
      <c r="E937" t="inlineStr">
        <is>
          <t>內案</t>
        </is>
      </c>
      <c r="F937" s="3" t="n">
        <v>1809660</v>
      </c>
      <c r="G937" s="3" t="n">
        <v>824824</v>
      </c>
      <c r="H937" s="3" t="n">
        <v>2634484</v>
      </c>
      <c r="I937" s="3" t="n">
        <v>0</v>
      </c>
      <c r="J937" s="3" t="n">
        <v>2655000</v>
      </c>
    </row>
    <row r="938">
      <c r="A938" t="inlineStr">
        <is>
          <t>累計 Year 2027</t>
        </is>
      </c>
      <c r="B938" t="inlineStr">
        <is>
          <t>C/9260A</t>
        </is>
      </c>
      <c r="C938" t="inlineStr">
        <is>
          <t>台中楓溪</t>
        </is>
      </c>
      <c r="D938" t="inlineStr">
        <is>
          <t>內部</t>
        </is>
      </c>
      <c r="E938" t="inlineStr">
        <is>
          <t>內案</t>
        </is>
      </c>
      <c r="F938" s="3" t="n">
        <v>1295167</v>
      </c>
      <c r="G938" s="3" t="n">
        <v>590037</v>
      </c>
      <c r="H938" s="3" t="n">
        <v>1885204</v>
      </c>
      <c r="I938" s="3" t="n">
        <v>0</v>
      </c>
      <c r="J938" s="3" t="n">
        <v>2588000</v>
      </c>
    </row>
    <row r="939">
      <c r="A939" t="inlineStr">
        <is>
          <t>累計 Year 2027</t>
        </is>
      </c>
      <c r="B939" t="inlineStr">
        <is>
          <t>C/9260B</t>
        </is>
      </c>
      <c r="C939" t="inlineStr">
        <is>
          <t>樺輝永鑄</t>
        </is>
      </c>
      <c r="D939" t="inlineStr">
        <is>
          <t>內部</t>
        </is>
      </c>
      <c r="E939" t="inlineStr">
        <is>
          <t>內案</t>
        </is>
      </c>
      <c r="F939" s="3" t="n">
        <v>2260239</v>
      </c>
      <c r="G939" s="3" t="n">
        <v>440660</v>
      </c>
      <c r="H939" s="3" t="n">
        <v>2700899</v>
      </c>
      <c r="I939" s="3" t="n">
        <v>0</v>
      </c>
      <c r="J939" s="3" t="n">
        <v>3548000</v>
      </c>
    </row>
    <row r="940">
      <c r="A940" t="inlineStr">
        <is>
          <t>累計 Year 2027</t>
        </is>
      </c>
      <c r="B940" t="inlineStr">
        <is>
          <t>C/9260C</t>
        </is>
      </c>
      <c r="C940" t="inlineStr">
        <is>
          <t>中華郵政信維</t>
        </is>
      </c>
      <c r="D940" t="inlineStr">
        <is>
          <t>內部</t>
        </is>
      </c>
      <c r="E940" t="inlineStr">
        <is>
          <t>內案</t>
        </is>
      </c>
      <c r="F940" s="3" t="n">
        <v>2110362</v>
      </c>
      <c r="G940" s="3" t="n">
        <v>911644</v>
      </c>
      <c r="H940" s="3" t="n">
        <v>3022006</v>
      </c>
      <c r="I940" s="3" t="n">
        <v>0</v>
      </c>
      <c r="J940" s="3" t="n">
        <v>4402500</v>
      </c>
    </row>
    <row r="941">
      <c r="A941" t="inlineStr">
        <is>
          <t>累計 Year 2027</t>
        </is>
      </c>
      <c r="B941" t="inlineStr">
        <is>
          <t>C/9260D</t>
        </is>
      </c>
      <c r="C941" t="inlineStr">
        <is>
          <t>大安復興</t>
        </is>
      </c>
      <c r="D941" t="inlineStr">
        <is>
          <t>內部</t>
        </is>
      </c>
      <c r="E941" t="inlineStr">
        <is>
          <t>內案</t>
        </is>
      </c>
      <c r="F941" s="3" t="n">
        <v>665272</v>
      </c>
      <c r="G941" s="3" t="n">
        <v>264316</v>
      </c>
      <c r="H941" s="3" t="n">
        <v>929588</v>
      </c>
      <c r="I941" s="3" t="n">
        <v>0</v>
      </c>
      <c r="J941" s="3" t="n">
        <v>1420000</v>
      </c>
    </row>
    <row r="942">
      <c r="A942" t="inlineStr">
        <is>
          <t>累計 Year 2027</t>
        </is>
      </c>
      <c r="B942" t="inlineStr">
        <is>
          <t>C/9100B_26</t>
        </is>
      </c>
      <c r="C942" t="inlineStr">
        <is>
          <t>新取得BIM建築-26年</t>
        </is>
      </c>
      <c r="D942" t="inlineStr">
        <is>
          <t>內部</t>
        </is>
      </c>
      <c r="E942" t="inlineStr">
        <is>
          <t>內案</t>
        </is>
      </c>
      <c r="F942" s="3" t="n">
        <v>0</v>
      </c>
      <c r="G942" s="3" t="n">
        <v>0</v>
      </c>
      <c r="H942" s="3" t="n">
        <v>0</v>
      </c>
      <c r="I942" s="3" t="n">
        <v>0</v>
      </c>
      <c r="J942" s="3" t="n">
        <v>0</v>
      </c>
    </row>
    <row r="943">
      <c r="A943" t="inlineStr">
        <is>
          <t>累計 Year 2027</t>
        </is>
      </c>
      <c r="B943" t="inlineStr">
        <is>
          <t>C/9100A_27</t>
        </is>
      </c>
      <c r="C943" t="inlineStr">
        <is>
          <t>新取得BIM建築-26年</t>
        </is>
      </c>
      <c r="D943" t="inlineStr">
        <is>
          <t>內部</t>
        </is>
      </c>
      <c r="E943" t="inlineStr">
        <is>
          <t>內案</t>
        </is>
      </c>
      <c r="F943" s="3" t="n">
        <v>0</v>
      </c>
      <c r="G943" s="3" t="n">
        <v>0</v>
      </c>
      <c r="H943" s="3" t="n">
        <v>0</v>
      </c>
      <c r="I943" s="3" t="n">
        <v>0</v>
      </c>
      <c r="J943" s="3" t="n">
        <v>0</v>
      </c>
    </row>
    <row r="944">
      <c r="A944" t="inlineStr">
        <is>
          <t>累計 Year 2027</t>
        </is>
      </c>
      <c r="B944" t="inlineStr">
        <is>
          <t>C/9100B_27</t>
        </is>
      </c>
      <c r="C944" t="inlineStr">
        <is>
          <t>新取得BIM建築-27年</t>
        </is>
      </c>
      <c r="D944" t="inlineStr">
        <is>
          <t>內部</t>
        </is>
      </c>
      <c r="E944" t="inlineStr">
        <is>
          <t>內案</t>
        </is>
      </c>
      <c r="F944" s="3" t="n">
        <v>9112650</v>
      </c>
      <c r="G944" s="3" t="n">
        <v>3449254</v>
      </c>
      <c r="H944" s="3" t="n">
        <v>12561904</v>
      </c>
      <c r="I944" s="3" t="n">
        <v>0</v>
      </c>
      <c r="J944" s="3" t="n">
        <v>13562500</v>
      </c>
    </row>
    <row r="945">
      <c r="A945" t="inlineStr">
        <is>
          <t>累計 Year 2027</t>
        </is>
      </c>
      <c r="B945" t="inlineStr">
        <is>
          <t>C/9100C_27</t>
        </is>
      </c>
      <c r="C945" t="inlineStr">
        <is>
          <t>新取得BIM建築-28年</t>
        </is>
      </c>
      <c r="D945" t="inlineStr">
        <is>
          <t>內部</t>
        </is>
      </c>
      <c r="E945" t="inlineStr">
        <is>
          <t>內案</t>
        </is>
      </c>
      <c r="F945" s="3" t="n">
        <v>0</v>
      </c>
      <c r="G945" s="3" t="n">
        <v>0</v>
      </c>
      <c r="H945" s="3" t="n">
        <v>0</v>
      </c>
      <c r="I945" s="3" t="n">
        <v>0</v>
      </c>
      <c r="J945" s="3" t="n">
        <v>0</v>
      </c>
    </row>
    <row r="946">
      <c r="A946" t="inlineStr">
        <is>
          <t>累計 Year 2027</t>
        </is>
      </c>
      <c r="B946" t="inlineStr">
        <is>
          <t>C/9100D_27</t>
        </is>
      </c>
      <c r="C946" t="inlineStr">
        <is>
          <t>新取得BIM建築-29年</t>
        </is>
      </c>
      <c r="D946" t="inlineStr">
        <is>
          <t>內部</t>
        </is>
      </c>
      <c r="E946" t="inlineStr">
        <is>
          <t>內案</t>
        </is>
      </c>
      <c r="F946" s="3" t="n">
        <v>0</v>
      </c>
      <c r="G946" s="3" t="n">
        <v>0</v>
      </c>
      <c r="H946" s="3" t="n">
        <v>0</v>
      </c>
      <c r="I946" s="3" t="n">
        <v>0</v>
      </c>
      <c r="J946" s="3" t="n">
        <v>0</v>
      </c>
    </row>
    <row r="947">
      <c r="A947" t="inlineStr">
        <is>
          <t>累計 Year 2027</t>
        </is>
      </c>
      <c r="B947" t="inlineStr">
        <is>
          <t>C/9100E_27</t>
        </is>
      </c>
      <c r="C947" t="inlineStr">
        <is>
          <t>新取得BIM建築-30年</t>
        </is>
      </c>
      <c r="D947" t="inlineStr">
        <is>
          <t>內部</t>
        </is>
      </c>
      <c r="E947" t="inlineStr">
        <is>
          <t>內案</t>
        </is>
      </c>
      <c r="F947" s="3" t="n">
        <v>0</v>
      </c>
      <c r="G947" s="3" t="n">
        <v>0</v>
      </c>
      <c r="H947" s="3" t="n">
        <v>0</v>
      </c>
      <c r="I947" s="3" t="n">
        <v>0</v>
      </c>
      <c r="J947" s="3" t="n">
        <v>0</v>
      </c>
    </row>
    <row r="948">
      <c r="A948" t="inlineStr">
        <is>
          <t>累計 Year 2027</t>
        </is>
      </c>
      <c r="B948" t="inlineStr">
        <is>
          <t>C/9100F_27</t>
        </is>
      </c>
      <c r="C948" t="inlineStr">
        <is>
          <t>新取得BIM建築-31年</t>
        </is>
      </c>
      <c r="D948" t="inlineStr">
        <is>
          <t>內部</t>
        </is>
      </c>
      <c r="E948" t="inlineStr">
        <is>
          <t>內案</t>
        </is>
      </c>
      <c r="F948" s="3" t="n">
        <v>0</v>
      </c>
      <c r="G948" s="3" t="n">
        <v>0</v>
      </c>
      <c r="H948" s="3" t="n">
        <v>0</v>
      </c>
      <c r="I948" s="3" t="n">
        <v>0</v>
      </c>
      <c r="J948" s="3" t="n">
        <v>0</v>
      </c>
    </row>
    <row r="949">
      <c r="A949" t="inlineStr">
        <is>
          <t>累計 Year 2027</t>
        </is>
      </c>
      <c r="B949" t="inlineStr">
        <is>
          <t>C/99992</t>
        </is>
      </c>
      <c r="C949" t="inlineStr">
        <is>
          <t>雜項BIM土木機電</t>
        </is>
      </c>
      <c r="D949" t="inlineStr">
        <is>
          <t>內/無</t>
        </is>
      </c>
      <c r="E949" t="inlineStr">
        <is>
          <t>雜項</t>
        </is>
      </c>
      <c r="F949" s="3" t="n">
        <v>1131410</v>
      </c>
      <c r="G949" s="3" t="n">
        <v>10090</v>
      </c>
      <c r="H949" s="3" t="n">
        <v>1141500</v>
      </c>
      <c r="I949" s="3" t="n">
        <v>0</v>
      </c>
      <c r="J949" s="3" t="n">
        <v>2158200</v>
      </c>
    </row>
    <row r="950">
      <c r="A950" t="inlineStr">
        <is>
          <t>累計 Year 2027</t>
        </is>
      </c>
      <c r="B950" t="inlineStr">
        <is>
          <t>C/99992-1</t>
        </is>
      </c>
      <c r="C950" t="inlineStr">
        <is>
          <t>雜項BIM土木機電(外案收入)</t>
        </is>
      </c>
      <c r="D950" t="inlineStr">
        <is>
          <t>外部</t>
        </is>
      </c>
      <c r="E950" t="inlineStr">
        <is>
          <t>外案</t>
        </is>
      </c>
      <c r="F950" s="3" t="n">
        <v>39200</v>
      </c>
      <c r="G950" s="3" t="n">
        <v>13300</v>
      </c>
      <c r="H950" s="3" t="n">
        <v>52500</v>
      </c>
      <c r="I950" s="3" t="n">
        <v>0</v>
      </c>
      <c r="J950" s="3" t="n">
        <v>267500</v>
      </c>
    </row>
    <row r="951">
      <c r="A951" t="inlineStr">
        <is>
          <t>累計 Year 2027</t>
        </is>
      </c>
      <c r="B951" t="inlineStr">
        <is>
          <t>C/99993</t>
        </is>
      </c>
      <c r="C951" t="inlineStr">
        <is>
          <t>備標BIM土木機電</t>
        </is>
      </c>
      <c r="D951" t="inlineStr">
        <is>
          <t>備標</t>
        </is>
      </c>
      <c r="E951" t="inlineStr">
        <is>
          <t>備標</t>
        </is>
      </c>
      <c r="F951" s="3" t="n">
        <v>1194222</v>
      </c>
      <c r="G951" s="3" t="n">
        <v>1205778</v>
      </c>
      <c r="H951" s="3" t="n">
        <v>2400000</v>
      </c>
      <c r="I951" s="3" t="n">
        <v>0</v>
      </c>
      <c r="J951" s="3" t="n">
        <v>6390100</v>
      </c>
    </row>
    <row r="952">
      <c r="A952" t="inlineStr">
        <is>
          <t>累計 Year 2027</t>
        </is>
      </c>
      <c r="B952" t="inlineStr">
        <is>
          <t>C/9999B</t>
        </is>
      </c>
      <c r="C952" t="inlineStr">
        <is>
          <t>雜項BIM建築</t>
        </is>
      </c>
      <c r="D952" t="inlineStr">
        <is>
          <t>內/無</t>
        </is>
      </c>
      <c r="E952" t="inlineStr">
        <is>
          <t>雜項</t>
        </is>
      </c>
      <c r="F952" s="3" t="n">
        <v>1359204</v>
      </c>
      <c r="G952" s="3" t="n">
        <v>385796</v>
      </c>
      <c r="H952" s="3" t="n">
        <v>1745000</v>
      </c>
      <c r="I952" s="3" t="n">
        <v>0</v>
      </c>
      <c r="J952" s="3" t="n">
        <v>3375000</v>
      </c>
    </row>
    <row r="953">
      <c r="A953" t="inlineStr">
        <is>
          <t>累計 Year 2027</t>
        </is>
      </c>
      <c r="B953" t="inlineStr">
        <is>
          <t>C/9999D</t>
        </is>
      </c>
      <c r="C953" t="inlineStr">
        <is>
          <t>備標BIM建築</t>
        </is>
      </c>
      <c r="D953" t="inlineStr">
        <is>
          <t>備標</t>
        </is>
      </c>
      <c r="E953" t="inlineStr">
        <is>
          <t>備標</t>
        </is>
      </c>
      <c r="F953" s="3" t="n">
        <v>1684733</v>
      </c>
      <c r="G953" s="3" t="n">
        <v>-389733</v>
      </c>
      <c r="H953" s="3" t="n">
        <v>1295000</v>
      </c>
      <c r="I953" s="3" t="n">
        <v>0</v>
      </c>
      <c r="J953" s="3" t="n">
        <v>2015000</v>
      </c>
    </row>
    <row r="954">
      <c r="A954" t="inlineStr">
        <is>
          <t>Year 2028</t>
        </is>
      </c>
      <c r="B954" t="inlineStr">
        <is>
          <t>C/92103</t>
        </is>
      </c>
      <c r="C954" t="inlineStr">
        <is>
          <t>CQ840 BIM</t>
        </is>
      </c>
      <c r="D954" t="inlineStr">
        <is>
          <t>內部</t>
        </is>
      </c>
      <c r="E954" t="inlineStr">
        <is>
          <t>內案</t>
        </is>
      </c>
      <c r="F954" s="3" t="n">
        <v>0</v>
      </c>
      <c r="G954" s="3" t="n">
        <v>0</v>
      </c>
      <c r="H954" s="3" t="n">
        <v>0</v>
      </c>
      <c r="I954" s="3" t="n">
        <v>0</v>
      </c>
      <c r="J954" s="3" t="n">
        <v>0</v>
      </c>
    </row>
    <row r="955">
      <c r="A955" t="inlineStr">
        <is>
          <t>Year 2028</t>
        </is>
      </c>
      <c r="B955" t="inlineStr">
        <is>
          <t>C/92202</t>
        </is>
      </c>
      <c r="C955" t="inlineStr">
        <is>
          <t>CF680C BIM</t>
        </is>
      </c>
      <c r="D955" t="inlineStr">
        <is>
          <t>內部</t>
        </is>
      </c>
      <c r="E955" t="inlineStr">
        <is>
          <t>內案</t>
        </is>
      </c>
      <c r="F955" s="3" t="n">
        <v>713085</v>
      </c>
      <c r="G955" s="3" t="n">
        <v>342907</v>
      </c>
      <c r="H955" s="3" t="n">
        <v>1055992</v>
      </c>
      <c r="I955" s="3" t="n">
        <v>0</v>
      </c>
      <c r="J955" s="3" t="n">
        <v>700000</v>
      </c>
    </row>
    <row r="956">
      <c r="A956" t="inlineStr">
        <is>
          <t>Year 2028</t>
        </is>
      </c>
      <c r="B956" t="inlineStr">
        <is>
          <t>C/92203</t>
        </is>
      </c>
      <c r="C956" t="inlineStr">
        <is>
          <t>N－WH BIM</t>
        </is>
      </c>
      <c r="D956" t="inlineStr">
        <is>
          <t>內部</t>
        </is>
      </c>
      <c r="E956" t="inlineStr">
        <is>
          <t>內案</t>
        </is>
      </c>
      <c r="F956" s="3" t="n">
        <v>2158324</v>
      </c>
      <c r="G956" s="3" t="n">
        <v>745819</v>
      </c>
      <c r="H956" s="3" t="n">
        <v>2904143</v>
      </c>
      <c r="I956" s="3" t="n">
        <v>0</v>
      </c>
      <c r="J956" s="3" t="n">
        <v>398000</v>
      </c>
    </row>
    <row r="957">
      <c r="A957" t="inlineStr">
        <is>
          <t>Year 2028</t>
        </is>
      </c>
      <c r="B957" t="inlineStr">
        <is>
          <t>C/92204</t>
        </is>
      </c>
      <c r="C957" t="inlineStr">
        <is>
          <t>國揚吉林機電</t>
        </is>
      </c>
      <c r="D957" t="inlineStr">
        <is>
          <t>內部</t>
        </is>
      </c>
      <c r="E957" t="inlineStr">
        <is>
          <t>內案</t>
        </is>
      </c>
      <c r="F957" s="3" t="n">
        <v>0</v>
      </c>
      <c r="G957" s="3" t="n">
        <v>0</v>
      </c>
      <c r="H957" s="3" t="n">
        <v>0</v>
      </c>
      <c r="I957" s="3" t="n">
        <v>0</v>
      </c>
      <c r="J957" s="3" t="n">
        <v>0</v>
      </c>
    </row>
    <row r="958">
      <c r="A958" t="inlineStr">
        <is>
          <t>Year 2028</t>
        </is>
      </c>
      <c r="B958" t="inlineStr">
        <is>
          <t>C/92301</t>
        </is>
      </c>
      <c r="C958" t="inlineStr">
        <is>
          <t>CF670A BIM 土木機電</t>
        </is>
      </c>
      <c r="D958" t="inlineStr">
        <is>
          <t>內部</t>
        </is>
      </c>
      <c r="E958" t="inlineStr">
        <is>
          <t>內案</t>
        </is>
      </c>
      <c r="F958" s="3" t="n">
        <v>609304</v>
      </c>
      <c r="G958" s="3" t="n">
        <v>69981</v>
      </c>
      <c r="H958" s="3" t="n">
        <v>679285</v>
      </c>
      <c r="I958" s="3" t="n">
        <v>0</v>
      </c>
      <c r="J958" s="3" t="n">
        <v>420000</v>
      </c>
    </row>
    <row r="959">
      <c r="A959" t="inlineStr">
        <is>
          <t>Year 2028</t>
        </is>
      </c>
      <c r="B959" t="inlineStr">
        <is>
          <t>C/92302</t>
        </is>
      </c>
      <c r="C959" t="inlineStr">
        <is>
          <t>富邦忠孝懷生BIM機電</t>
        </is>
      </c>
      <c r="D959" t="inlineStr">
        <is>
          <t>內部</t>
        </is>
      </c>
      <c r="E959" t="inlineStr">
        <is>
          <t>內案</t>
        </is>
      </c>
      <c r="F959" s="3" t="n">
        <v>0</v>
      </c>
      <c r="G959" s="3" t="n">
        <v>0</v>
      </c>
      <c r="H959" s="3" t="n">
        <v>0</v>
      </c>
      <c r="I959" s="3" t="n">
        <v>0</v>
      </c>
      <c r="J959" s="3" t="n">
        <v>0</v>
      </c>
    </row>
    <row r="960">
      <c r="A960" t="inlineStr">
        <is>
          <t>Year 2028</t>
        </is>
      </c>
      <c r="B960" t="inlineStr">
        <is>
          <t>C/92303</t>
        </is>
      </c>
      <c r="C960" t="inlineStr">
        <is>
          <t>信義兒福BIM機電</t>
        </is>
      </c>
      <c r="D960" t="inlineStr">
        <is>
          <t>外部</t>
        </is>
      </c>
      <c r="E960" t="inlineStr">
        <is>
          <t>外案</t>
        </is>
      </c>
      <c r="F960" s="3" t="n">
        <v>285067</v>
      </c>
      <c r="G960" s="3" t="n">
        <v>68920</v>
      </c>
      <c r="H960" s="3" t="n">
        <v>353987</v>
      </c>
      <c r="I960" s="3" t="n">
        <v>0</v>
      </c>
      <c r="J960" s="3" t="n">
        <v>822500</v>
      </c>
    </row>
    <row r="961">
      <c r="A961" t="inlineStr">
        <is>
          <t>Year 2028</t>
        </is>
      </c>
      <c r="B961" t="inlineStr">
        <is>
          <t>C/92304</t>
        </is>
      </c>
      <c r="C961" t="inlineStr">
        <is>
          <t>捷運劍潭站TOD統包BIM機電</t>
        </is>
      </c>
      <c r="D961" t="inlineStr">
        <is>
          <t>內部</t>
        </is>
      </c>
      <c r="E961" t="inlineStr">
        <is>
          <t>內案</t>
        </is>
      </c>
      <c r="F961" s="3" t="n">
        <v>0</v>
      </c>
      <c r="G961" s="3" t="n">
        <v>0</v>
      </c>
      <c r="H961" s="3" t="n">
        <v>0</v>
      </c>
      <c r="I961" s="3" t="n">
        <v>0</v>
      </c>
      <c r="J961" s="3" t="n">
        <v>0</v>
      </c>
    </row>
    <row r="962">
      <c r="A962" t="inlineStr">
        <is>
          <t>Year 2028</t>
        </is>
      </c>
      <c r="B962" t="inlineStr">
        <is>
          <t>C/92401</t>
        </is>
      </c>
      <c r="C962" t="inlineStr">
        <is>
          <t>CJ17 土木機電</t>
        </is>
      </c>
      <c r="D962" t="inlineStr">
        <is>
          <t>內部</t>
        </is>
      </c>
      <c r="E962" t="inlineStr">
        <is>
          <t>內案</t>
        </is>
      </c>
      <c r="F962" s="3" t="n">
        <v>1898429</v>
      </c>
      <c r="G962" s="3" t="n">
        <v>919103</v>
      </c>
      <c r="H962" s="3" t="n">
        <v>2817532</v>
      </c>
      <c r="I962" s="3" t="n">
        <v>0</v>
      </c>
      <c r="J962" s="3" t="n">
        <v>3500000</v>
      </c>
    </row>
    <row r="963">
      <c r="A963" t="inlineStr">
        <is>
          <t>Year 2028</t>
        </is>
      </c>
      <c r="B963" t="inlineStr">
        <is>
          <t>C/92501</t>
        </is>
      </c>
      <c r="C963" t="inlineStr">
        <is>
          <t>CF670 BIM土木機電</t>
        </is>
      </c>
      <c r="D963" t="inlineStr">
        <is>
          <t>內部</t>
        </is>
      </c>
      <c r="E963" t="inlineStr">
        <is>
          <t>內案</t>
        </is>
      </c>
      <c r="F963" s="3" t="n">
        <v>4029059</v>
      </c>
      <c r="G963" s="3" t="n">
        <v>1924037</v>
      </c>
      <c r="H963" s="3" t="n">
        <v>5953096</v>
      </c>
      <c r="I963" s="3" t="n">
        <v>0</v>
      </c>
      <c r="J963" s="3" t="n">
        <v>4793250</v>
      </c>
    </row>
    <row r="964">
      <c r="A964" t="inlineStr">
        <is>
          <t>Year 2028</t>
        </is>
      </c>
      <c r="B964" t="inlineStr">
        <is>
          <t>C/92502</t>
        </is>
      </c>
      <c r="C964" t="inlineStr">
        <is>
          <t>擎邦-聯發科機電</t>
        </is>
      </c>
      <c r="D964" t="inlineStr">
        <is>
          <t>外部</t>
        </is>
      </c>
      <c r="E964" t="inlineStr">
        <is>
          <t>外案</t>
        </is>
      </c>
      <c r="F964" s="3" t="n">
        <v>0</v>
      </c>
      <c r="G964" s="3" t="n">
        <v>0</v>
      </c>
      <c r="H964" s="3" t="n">
        <v>0</v>
      </c>
      <c r="I964" s="3" t="n">
        <v>0</v>
      </c>
      <c r="J964" s="3" t="n">
        <v>0</v>
      </c>
    </row>
    <row r="965">
      <c r="A965" t="inlineStr">
        <is>
          <t>Year 2028</t>
        </is>
      </c>
      <c r="B965" t="inlineStr">
        <is>
          <t>C/92503</t>
        </is>
      </c>
      <c r="C965" t="inlineStr">
        <is>
          <t>CF690B BIM土木</t>
        </is>
      </c>
      <c r="D965" t="inlineStr">
        <is>
          <t>外部</t>
        </is>
      </c>
      <c r="E965" t="inlineStr">
        <is>
          <t>外案</t>
        </is>
      </c>
      <c r="F965" s="3" t="n">
        <v>753096</v>
      </c>
      <c r="G965" s="3" t="n">
        <v>314018</v>
      </c>
      <c r="H965" s="3" t="n">
        <v>1067114</v>
      </c>
      <c r="I965" s="3" t="n">
        <v>0</v>
      </c>
      <c r="J965" s="3" t="n">
        <v>1045100</v>
      </c>
    </row>
    <row r="966">
      <c r="A966" t="inlineStr">
        <is>
          <t>Year 2028</t>
        </is>
      </c>
      <c r="B966" t="inlineStr">
        <is>
          <t>C/92504</t>
        </is>
      </c>
      <c r="C966" t="inlineStr">
        <is>
          <t>擎邦-員榮總醫院BIM</t>
        </is>
      </c>
      <c r="D966" t="inlineStr">
        <is>
          <t>外部</t>
        </is>
      </c>
      <c r="E966" t="inlineStr">
        <is>
          <t>外案</t>
        </is>
      </c>
      <c r="F966" s="3" t="n">
        <v>0</v>
      </c>
      <c r="G966" s="3" t="n">
        <v>0</v>
      </c>
      <c r="H966" s="3" t="n">
        <v>0</v>
      </c>
      <c r="I966" s="3" t="n">
        <v>0</v>
      </c>
      <c r="J966" s="3" t="n">
        <v>0</v>
      </c>
    </row>
    <row r="967">
      <c r="A967" t="inlineStr">
        <is>
          <t>Year 2028</t>
        </is>
      </c>
      <c r="B967" t="inlineStr">
        <is>
          <t>C/92601</t>
        </is>
      </c>
      <c r="C967" t="inlineStr">
        <is>
          <t>擎邦-聯發科銅鑼</t>
        </is>
      </c>
      <c r="D967" t="inlineStr">
        <is>
          <t>外部</t>
        </is>
      </c>
      <c r="E967" t="inlineStr">
        <is>
          <t>外案</t>
        </is>
      </c>
      <c r="F967" s="3" t="n">
        <v>0</v>
      </c>
      <c r="G967" s="3" t="n">
        <v>0</v>
      </c>
      <c r="H967" s="3" t="n">
        <v>0</v>
      </c>
      <c r="I967" s="3" t="n">
        <v>0</v>
      </c>
      <c r="J967" s="3" t="n">
        <v>0</v>
      </c>
    </row>
    <row r="968">
      <c r="A968" t="inlineStr">
        <is>
          <t>Year 2028</t>
        </is>
      </c>
      <c r="B968" t="inlineStr">
        <is>
          <t>C/92602</t>
        </is>
      </c>
      <c r="C968" t="inlineStr">
        <is>
          <t>擎邦-CF624F機電(CF690B機電)</t>
        </is>
      </c>
      <c r="D968" t="inlineStr">
        <is>
          <t>外部</t>
        </is>
      </c>
      <c r="E968" t="inlineStr">
        <is>
          <t>外案</t>
        </is>
      </c>
      <c r="F968" s="3" t="n">
        <v>2530740</v>
      </c>
      <c r="G968" s="3" t="n">
        <v>1180876</v>
      </c>
      <c r="H968" s="3" t="n">
        <v>3711616</v>
      </c>
      <c r="I968" s="3" t="n">
        <v>0</v>
      </c>
      <c r="J968" s="3" t="n">
        <v>1330000</v>
      </c>
    </row>
    <row r="969">
      <c r="A969" t="inlineStr">
        <is>
          <t>Year 2028</t>
        </is>
      </c>
      <c r="B969" t="inlineStr">
        <is>
          <t>C/92603</t>
        </is>
      </c>
      <c r="C969" t="inlineStr">
        <is>
          <t>中華郵政信維機電</t>
        </is>
      </c>
      <c r="D969" t="inlineStr">
        <is>
          <t>內部</t>
        </is>
      </c>
      <c r="E969" t="inlineStr">
        <is>
          <t>內案</t>
        </is>
      </c>
      <c r="F969" s="3" t="n">
        <v>2280666</v>
      </c>
      <c r="G969" s="3" t="n">
        <v>1119721</v>
      </c>
      <c r="H969" s="3" t="n">
        <v>3400387</v>
      </c>
      <c r="I969" s="3" t="n">
        <v>0</v>
      </c>
      <c r="J969" s="3" t="n">
        <v>4200000</v>
      </c>
    </row>
    <row r="970">
      <c r="A970" t="inlineStr">
        <is>
          <t>Year 2028</t>
        </is>
      </c>
      <c r="B970" t="inlineStr">
        <is>
          <t>C/91001_26</t>
        </is>
      </c>
      <c r="C970" t="inlineStr">
        <is>
          <t>新取得BIM土木機電-26年</t>
        </is>
      </c>
      <c r="D970" t="inlineStr">
        <is>
          <t>內部</t>
        </is>
      </c>
      <c r="E970" t="inlineStr">
        <is>
          <t>內案</t>
        </is>
      </c>
      <c r="F970" s="3" t="n">
        <v>0</v>
      </c>
      <c r="G970" s="3" t="n">
        <v>0</v>
      </c>
      <c r="H970" s="3" t="n">
        <v>0</v>
      </c>
      <c r="I970" s="3" t="n">
        <v>0</v>
      </c>
      <c r="J970" s="3" t="n">
        <v>0</v>
      </c>
    </row>
    <row r="971">
      <c r="A971" t="inlineStr">
        <is>
          <t>Year 2028</t>
        </is>
      </c>
      <c r="B971" t="inlineStr">
        <is>
          <t>C/91000_27</t>
        </is>
      </c>
      <c r="C971" t="inlineStr">
        <is>
          <t>新取得BIM土木機電-26年</t>
        </is>
      </c>
      <c r="D971" t="inlineStr">
        <is>
          <t>內部</t>
        </is>
      </c>
      <c r="E971" t="inlineStr">
        <is>
          <t>內案</t>
        </is>
      </c>
      <c r="F971" s="3" t="n">
        <v>0</v>
      </c>
      <c r="G971" s="3" t="n">
        <v>0</v>
      </c>
      <c r="H971" s="3" t="n">
        <v>0</v>
      </c>
      <c r="I971" s="3" t="n">
        <v>0</v>
      </c>
      <c r="J971" s="3" t="n">
        <v>0</v>
      </c>
    </row>
    <row r="972">
      <c r="A972" t="inlineStr">
        <is>
          <t>Year 2028</t>
        </is>
      </c>
      <c r="B972" t="inlineStr">
        <is>
          <t>C/91001_27</t>
        </is>
      </c>
      <c r="C972" t="inlineStr">
        <is>
          <t>新取得BIM土木機電-27年</t>
        </is>
      </c>
      <c r="D972" t="inlineStr">
        <is>
          <t>內部</t>
        </is>
      </c>
      <c r="E972" t="inlineStr">
        <is>
          <t>內案</t>
        </is>
      </c>
      <c r="F972" s="3" t="n">
        <v>6251850</v>
      </c>
      <c r="G972" s="3" t="n">
        <v>3130364</v>
      </c>
      <c r="H972" s="3" t="n">
        <v>9382214</v>
      </c>
      <c r="I972" s="3" t="n">
        <v>0</v>
      </c>
      <c r="J972" s="3" t="n">
        <v>12250000</v>
      </c>
    </row>
    <row r="973">
      <c r="A973" t="inlineStr">
        <is>
          <t>Year 2028</t>
        </is>
      </c>
      <c r="B973" t="inlineStr">
        <is>
          <t>C/91002_27</t>
        </is>
      </c>
      <c r="C973" t="inlineStr">
        <is>
          <t>新取得BIM土木機電-28年</t>
        </is>
      </c>
      <c r="D973" t="inlineStr">
        <is>
          <t>內部</t>
        </is>
      </c>
      <c r="E973" t="inlineStr">
        <is>
          <t>內案</t>
        </is>
      </c>
      <c r="F973" s="3" t="n">
        <v>3265925</v>
      </c>
      <c r="G973" s="3" t="n">
        <v>1600231</v>
      </c>
      <c r="H973" s="3" t="n">
        <v>4866156</v>
      </c>
      <c r="I973" s="3" t="n">
        <v>0</v>
      </c>
      <c r="J973" s="3" t="n">
        <v>7000000</v>
      </c>
    </row>
    <row r="974">
      <c r="A974" t="inlineStr">
        <is>
          <t>Year 2028</t>
        </is>
      </c>
      <c r="B974" t="inlineStr">
        <is>
          <t>C/91003_27</t>
        </is>
      </c>
      <c r="C974" t="inlineStr">
        <is>
          <t>新取得BIM土木機電-29年</t>
        </is>
      </c>
      <c r="D974" t="inlineStr">
        <is>
          <t>內部</t>
        </is>
      </c>
      <c r="E974" t="inlineStr">
        <is>
          <t>內案</t>
        </is>
      </c>
      <c r="F974" s="3" t="n">
        <v>0</v>
      </c>
      <c r="G974" s="3" t="n">
        <v>0</v>
      </c>
      <c r="H974" s="3" t="n">
        <v>0</v>
      </c>
      <c r="I974" s="3" t="n">
        <v>0</v>
      </c>
      <c r="J974" s="3" t="n">
        <v>0</v>
      </c>
    </row>
    <row r="975">
      <c r="A975" t="inlineStr">
        <is>
          <t>Year 2028</t>
        </is>
      </c>
      <c r="B975" t="inlineStr">
        <is>
          <t>C/91004_27</t>
        </is>
      </c>
      <c r="C975" t="inlineStr">
        <is>
          <t>新取得BIM土木機電-30年</t>
        </is>
      </c>
      <c r="D975" t="inlineStr">
        <is>
          <t>內部</t>
        </is>
      </c>
      <c r="E975" t="inlineStr">
        <is>
          <t>內案</t>
        </is>
      </c>
      <c r="F975" s="3" t="n">
        <v>0</v>
      </c>
      <c r="G975" s="3" t="n">
        <v>0</v>
      </c>
      <c r="H975" s="3" t="n">
        <v>0</v>
      </c>
      <c r="I975" s="3" t="n">
        <v>0</v>
      </c>
      <c r="J975" s="3" t="n">
        <v>0</v>
      </c>
    </row>
    <row r="976">
      <c r="A976" t="inlineStr">
        <is>
          <t>Year 2028</t>
        </is>
      </c>
      <c r="B976" t="inlineStr">
        <is>
          <t>C/91005_27</t>
        </is>
      </c>
      <c r="C976" t="inlineStr">
        <is>
          <t>新取得BIM土木機電-31年</t>
        </is>
      </c>
      <c r="D976" t="inlineStr">
        <is>
          <t>內部</t>
        </is>
      </c>
      <c r="E976" t="inlineStr">
        <is>
          <t>內案</t>
        </is>
      </c>
      <c r="F976" s="3" t="n">
        <v>0</v>
      </c>
      <c r="G976" s="3" t="n">
        <v>0</v>
      </c>
      <c r="H976" s="3" t="n">
        <v>0</v>
      </c>
      <c r="I976" s="3" t="n">
        <v>0</v>
      </c>
      <c r="J976" s="3" t="n">
        <v>0</v>
      </c>
    </row>
    <row r="977">
      <c r="A977" t="inlineStr">
        <is>
          <t>Year 2028</t>
        </is>
      </c>
      <c r="B977" t="inlineStr">
        <is>
          <t>C/9210F</t>
        </is>
      </c>
      <c r="C977" t="inlineStr">
        <is>
          <t>南港機廠BIM建築</t>
        </is>
      </c>
      <c r="D977" t="inlineStr">
        <is>
          <t>外部</t>
        </is>
      </c>
      <c r="E977" t="inlineStr">
        <is>
          <t>外案</t>
        </is>
      </c>
      <c r="F977" s="3" t="n">
        <v>0</v>
      </c>
      <c r="G977" s="3" t="n">
        <v>0</v>
      </c>
      <c r="H977" s="3" t="n">
        <v>0</v>
      </c>
      <c r="I977" s="3" t="n">
        <v>0</v>
      </c>
      <c r="J977" s="3" t="n">
        <v>0</v>
      </c>
    </row>
    <row r="978">
      <c r="A978" t="inlineStr">
        <is>
          <t>Year 2028</t>
        </is>
      </c>
      <c r="B978" t="inlineStr">
        <is>
          <t>C/9210G</t>
        </is>
      </c>
      <c r="C978" t="inlineStr">
        <is>
          <t>富邦忠孝懷生BIM建築</t>
        </is>
      </c>
      <c r="D978" t="inlineStr">
        <is>
          <t>內部</t>
        </is>
      </c>
      <c r="E978" t="inlineStr">
        <is>
          <t>內案</t>
        </is>
      </c>
      <c r="F978" s="3" t="n">
        <v>0</v>
      </c>
      <c r="G978" s="3" t="n">
        <v>0</v>
      </c>
      <c r="H978" s="3" t="n">
        <v>0</v>
      </c>
      <c r="I978" s="3" t="n">
        <v>0</v>
      </c>
      <c r="J978" s="3" t="n">
        <v>0</v>
      </c>
    </row>
    <row r="979">
      <c r="A979" t="inlineStr">
        <is>
          <t>Year 2028</t>
        </is>
      </c>
      <c r="B979" t="inlineStr">
        <is>
          <t>C/9220E</t>
        </is>
      </c>
      <c r="C979" t="inlineStr">
        <is>
          <t>柏鴻北士科 C/9100A-22A</t>
        </is>
      </c>
      <c r="D979" t="inlineStr">
        <is>
          <t>內部</t>
        </is>
      </c>
      <c r="E979" t="inlineStr">
        <is>
          <t>內案</t>
        </is>
      </c>
      <c r="F979" s="3" t="n">
        <v>0</v>
      </c>
      <c r="G979" s="3" t="n">
        <v>0</v>
      </c>
      <c r="H979" s="3" t="n">
        <v>0</v>
      </c>
      <c r="I979" s="3" t="n">
        <v>0</v>
      </c>
      <c r="J979" s="3" t="n">
        <v>0</v>
      </c>
    </row>
    <row r="980">
      <c r="A980" t="inlineStr">
        <is>
          <t>Year 2028</t>
        </is>
      </c>
      <c r="B980" t="inlineStr">
        <is>
          <t>C/9230A</t>
        </is>
      </c>
      <c r="C980" t="inlineStr">
        <is>
          <t>信義兒福BIM建築</t>
        </is>
      </c>
      <c r="D980" t="inlineStr">
        <is>
          <t>外部</t>
        </is>
      </c>
      <c r="E980" t="inlineStr">
        <is>
          <t>外案</t>
        </is>
      </c>
      <c r="F980" s="3" t="n">
        <v>540275</v>
      </c>
      <c r="G980" s="3" t="n">
        <v>214538</v>
      </c>
      <c r="H980" s="3" t="n">
        <v>754813</v>
      </c>
      <c r="I980" s="3" t="n">
        <v>0</v>
      </c>
      <c r="J980" s="3" t="n">
        <v>520500</v>
      </c>
    </row>
    <row r="981">
      <c r="A981" t="inlineStr">
        <is>
          <t>Year 2028</t>
        </is>
      </c>
      <c r="B981" t="inlineStr">
        <is>
          <t>C/9230B</t>
        </is>
      </c>
      <c r="C981" t="inlineStr">
        <is>
          <t>北捷劍潭TOD</t>
        </is>
      </c>
      <c r="D981" t="inlineStr">
        <is>
          <t>內部</t>
        </is>
      </c>
      <c r="E981" t="inlineStr">
        <is>
          <t>內案</t>
        </is>
      </c>
      <c r="F981" s="3" t="n">
        <v>685029</v>
      </c>
      <c r="G981" s="3" t="n">
        <v>379288</v>
      </c>
      <c r="H981" s="3" t="n">
        <v>1064317</v>
      </c>
      <c r="I981" s="3" t="n">
        <v>0</v>
      </c>
      <c r="J981" s="3" t="n">
        <v>600000</v>
      </c>
    </row>
    <row r="982">
      <c r="A982" t="inlineStr">
        <is>
          <t>Year 2028</t>
        </is>
      </c>
      <c r="B982" t="inlineStr">
        <is>
          <t>C/9230C</t>
        </is>
      </c>
      <c r="C982" t="inlineStr">
        <is>
          <t>慶城福華-23年</t>
        </is>
      </c>
      <c r="D982" t="inlineStr">
        <is>
          <t>內部</t>
        </is>
      </c>
      <c r="E982" t="inlineStr">
        <is>
          <t>內案</t>
        </is>
      </c>
      <c r="F982" s="3" t="n">
        <v>0</v>
      </c>
      <c r="G982" s="3" t="n">
        <v>0</v>
      </c>
      <c r="H982" s="3" t="n">
        <v>0</v>
      </c>
      <c r="I982" s="3" t="n">
        <v>0</v>
      </c>
      <c r="J982" s="3" t="n">
        <v>0</v>
      </c>
    </row>
    <row r="983">
      <c r="A983" t="inlineStr">
        <is>
          <t>Year 2028</t>
        </is>
      </c>
      <c r="B983" t="inlineStr">
        <is>
          <t>C/9240A</t>
        </is>
      </c>
      <c r="C983" t="inlineStr">
        <is>
          <t>南港國際一</t>
        </is>
      </c>
      <c r="D983" t="inlineStr">
        <is>
          <t>內部</t>
        </is>
      </c>
      <c r="E983" t="inlineStr">
        <is>
          <t>內案</t>
        </is>
      </c>
      <c r="F983" s="3" t="n">
        <v>86722</v>
      </c>
      <c r="G983" s="3" t="n">
        <v>76415</v>
      </c>
      <c r="H983" s="3" t="n">
        <v>163137</v>
      </c>
      <c r="I983" s="3" t="n">
        <v>0</v>
      </c>
      <c r="J983" s="3" t="n">
        <v>0</v>
      </c>
    </row>
    <row r="984">
      <c r="A984" t="inlineStr">
        <is>
          <t>Year 2028</t>
        </is>
      </c>
      <c r="B984" t="inlineStr">
        <is>
          <t>C/9240B</t>
        </is>
      </c>
      <c r="C984" t="inlineStr">
        <is>
          <t xml:space="preserve">台中洲際BIM建築 </t>
        </is>
      </c>
      <c r="D984" t="inlineStr">
        <is>
          <t>內部</t>
        </is>
      </c>
      <c r="E984" t="inlineStr">
        <is>
          <t>內案</t>
        </is>
      </c>
      <c r="F984" s="3" t="n">
        <v>0</v>
      </c>
      <c r="G984" s="3" t="n">
        <v>0</v>
      </c>
      <c r="H984" s="3" t="n">
        <v>0</v>
      </c>
      <c r="I984" s="3" t="n">
        <v>0</v>
      </c>
      <c r="J984" s="3" t="n">
        <v>0</v>
      </c>
    </row>
    <row r="985">
      <c r="A985" t="inlineStr">
        <is>
          <t>Year 2028</t>
        </is>
      </c>
      <c r="B985" t="inlineStr">
        <is>
          <t>C/9240C</t>
        </is>
      </c>
      <c r="C985" t="inlineStr">
        <is>
          <t xml:space="preserve">大直金泰BIM建築 </t>
        </is>
      </c>
      <c r="D985" t="inlineStr">
        <is>
          <t>內部</t>
        </is>
      </c>
      <c r="E985" t="inlineStr">
        <is>
          <t>內案</t>
        </is>
      </c>
      <c r="F985" s="3" t="n">
        <v>0</v>
      </c>
      <c r="G985" s="3" t="n">
        <v>0</v>
      </c>
      <c r="H985" s="3" t="n">
        <v>0</v>
      </c>
      <c r="I985" s="3" t="n">
        <v>0</v>
      </c>
      <c r="J985" s="3" t="n">
        <v>0</v>
      </c>
    </row>
    <row r="986">
      <c r="A986" t="inlineStr">
        <is>
          <t>Year 2028</t>
        </is>
      </c>
      <c r="B986" t="inlineStr">
        <is>
          <t>C/9240D</t>
        </is>
      </c>
      <c r="C986" t="inlineStr">
        <is>
          <t xml:space="preserve">板橋新雅BIM建築 </t>
        </is>
      </c>
      <c r="D986" t="inlineStr">
        <is>
          <t>內部</t>
        </is>
      </c>
      <c r="E986" t="inlineStr">
        <is>
          <t>內案</t>
        </is>
      </c>
      <c r="F986" s="3" t="n">
        <v>0</v>
      </c>
      <c r="G986" s="3" t="n">
        <v>0</v>
      </c>
      <c r="H986" s="3" t="n">
        <v>0</v>
      </c>
      <c r="I986" s="3" t="n">
        <v>0</v>
      </c>
      <c r="J986" s="3" t="n">
        <v>0</v>
      </c>
    </row>
    <row r="987">
      <c r="A987" t="inlineStr">
        <is>
          <t>Year 2028</t>
        </is>
      </c>
      <c r="B987" t="inlineStr">
        <is>
          <t>C/9240E</t>
        </is>
      </c>
      <c r="C987" t="inlineStr">
        <is>
          <t xml:space="preserve">板橋四維BIM建築 </t>
        </is>
      </c>
      <c r="D987" t="inlineStr">
        <is>
          <t>內部</t>
        </is>
      </c>
      <c r="E987" t="inlineStr">
        <is>
          <t>內案</t>
        </is>
      </c>
      <c r="F987" s="3" t="n">
        <v>0</v>
      </c>
      <c r="G987" s="3" t="n">
        <v>0</v>
      </c>
      <c r="H987" s="3" t="n">
        <v>0</v>
      </c>
      <c r="I987" s="3" t="n">
        <v>0</v>
      </c>
      <c r="J987" s="3" t="n">
        <v>0</v>
      </c>
    </row>
    <row r="988">
      <c r="A988" t="inlineStr">
        <is>
          <t>Year 2028</t>
        </is>
      </c>
      <c r="B988" t="inlineStr">
        <is>
          <t>C/9240F</t>
        </is>
      </c>
      <c r="C988" t="inlineStr">
        <is>
          <t>台中新美齊</t>
        </is>
      </c>
      <c r="D988" t="inlineStr">
        <is>
          <t>內部</t>
        </is>
      </c>
      <c r="E988" t="inlineStr">
        <is>
          <t>內案</t>
        </is>
      </c>
      <c r="F988" s="3" t="n">
        <v>0</v>
      </c>
      <c r="G988" s="3" t="n">
        <v>0</v>
      </c>
      <c r="H988" s="3" t="n">
        <v>0</v>
      </c>
      <c r="I988" s="3" t="n">
        <v>0</v>
      </c>
      <c r="J988" s="3" t="n">
        <v>0</v>
      </c>
    </row>
    <row r="989">
      <c r="A989" t="inlineStr">
        <is>
          <t>Year 2028</t>
        </is>
      </c>
      <c r="B989" t="inlineStr">
        <is>
          <t>C/9240G</t>
        </is>
      </c>
      <c r="C989" t="inlineStr">
        <is>
          <t>晨禎片片山閑</t>
        </is>
      </c>
      <c r="D989" t="inlineStr">
        <is>
          <t>外部</t>
        </is>
      </c>
      <c r="E989" t="inlineStr">
        <is>
          <t>外案</t>
        </is>
      </c>
      <c r="F989" s="3" t="n">
        <v>0</v>
      </c>
      <c r="G989" s="3" t="n">
        <v>0</v>
      </c>
      <c r="H989" s="3" t="n">
        <v>0</v>
      </c>
      <c r="I989" s="3" t="n">
        <v>0</v>
      </c>
      <c r="J989" s="3" t="n">
        <v>0</v>
      </c>
    </row>
    <row r="990">
      <c r="A990" t="inlineStr">
        <is>
          <t>Year 2028</t>
        </is>
      </c>
      <c r="B990" t="inlineStr">
        <is>
          <t>C/9250A</t>
        </is>
      </c>
      <c r="C990" t="inlineStr">
        <is>
          <t>南機二區BIM服務</t>
        </is>
      </c>
      <c r="D990" t="inlineStr">
        <is>
          <t>內部</t>
        </is>
      </c>
      <c r="E990" t="inlineStr">
        <is>
          <t>內案</t>
        </is>
      </c>
      <c r="F990" s="3" t="n">
        <v>7164174</v>
      </c>
      <c r="G990" s="3" t="n">
        <v>1779219</v>
      </c>
      <c r="H990" s="3" t="n">
        <v>8943393</v>
      </c>
      <c r="I990" s="3" t="n">
        <v>0</v>
      </c>
      <c r="J990" s="3" t="n">
        <v>9275000</v>
      </c>
    </row>
    <row r="991">
      <c r="A991" t="inlineStr">
        <is>
          <t>Year 2028</t>
        </is>
      </c>
      <c r="B991" t="inlineStr">
        <is>
          <t>C/9250B</t>
        </is>
      </c>
      <c r="C991" t="inlineStr">
        <is>
          <t>璞真南港總部</t>
        </is>
      </c>
      <c r="D991" t="inlineStr">
        <is>
          <t>內部</t>
        </is>
      </c>
      <c r="E991" t="inlineStr">
        <is>
          <t>內案</t>
        </is>
      </c>
      <c r="F991" s="3" t="n">
        <v>10496</v>
      </c>
      <c r="G991" s="3" t="n">
        <v>5233</v>
      </c>
      <c r="H991" s="3" t="n">
        <v>15729</v>
      </c>
      <c r="I991" s="3" t="n">
        <v>0</v>
      </c>
      <c r="J991" s="3" t="n">
        <v>0</v>
      </c>
    </row>
    <row r="992">
      <c r="A992" t="inlineStr">
        <is>
          <t>Year 2028</t>
        </is>
      </c>
      <c r="B992" t="inlineStr">
        <is>
          <t>C/9250C</t>
        </is>
      </c>
      <c r="C992" t="inlineStr">
        <is>
          <t>築源南港</t>
        </is>
      </c>
      <c r="D992" t="inlineStr">
        <is>
          <t>內部</t>
        </is>
      </c>
      <c r="E992" t="inlineStr">
        <is>
          <t>內案</t>
        </is>
      </c>
      <c r="F992" s="3" t="n">
        <v>22381</v>
      </c>
      <c r="G992" s="3" t="n">
        <v>10462</v>
      </c>
      <c r="H992" s="3" t="n">
        <v>32843</v>
      </c>
      <c r="I992" s="3" t="n">
        <v>0</v>
      </c>
      <c r="J992" s="3" t="n">
        <v>0</v>
      </c>
    </row>
    <row r="993">
      <c r="A993" t="inlineStr">
        <is>
          <t>Year 2028</t>
        </is>
      </c>
      <c r="B993" t="inlineStr">
        <is>
          <t>C/9250D</t>
        </is>
      </c>
      <c r="C993" t="inlineStr">
        <is>
          <t>南港三重</t>
        </is>
      </c>
      <c r="D993" t="inlineStr">
        <is>
          <t>內部</t>
        </is>
      </c>
      <c r="E993" t="inlineStr">
        <is>
          <t>內案</t>
        </is>
      </c>
      <c r="F993" s="3" t="n">
        <v>0</v>
      </c>
      <c r="G993" s="3" t="n">
        <v>0</v>
      </c>
      <c r="H993" s="3" t="n">
        <v>0</v>
      </c>
      <c r="I993" s="3" t="n">
        <v>0</v>
      </c>
      <c r="J993" s="3" t="n">
        <v>0</v>
      </c>
    </row>
    <row r="994">
      <c r="A994" t="inlineStr">
        <is>
          <t>Year 2028</t>
        </is>
      </c>
      <c r="B994" t="inlineStr">
        <is>
          <t>C/9260A</t>
        </is>
      </c>
      <c r="C994" t="inlineStr">
        <is>
          <t>台中楓溪</t>
        </is>
      </c>
      <c r="D994" t="inlineStr">
        <is>
          <t>內部</t>
        </is>
      </c>
      <c r="E994" t="inlineStr">
        <is>
          <t>內案</t>
        </is>
      </c>
      <c r="F994" s="3" t="n">
        <v>0</v>
      </c>
      <c r="G994" s="3" t="n">
        <v>0</v>
      </c>
      <c r="H994" s="3" t="n">
        <v>0</v>
      </c>
      <c r="I994" s="3" t="n">
        <v>0</v>
      </c>
      <c r="J994" s="3" t="n">
        <v>0</v>
      </c>
    </row>
    <row r="995">
      <c r="A995" t="inlineStr">
        <is>
          <t>Year 2028</t>
        </is>
      </c>
      <c r="B995" t="inlineStr">
        <is>
          <t>C/9260B</t>
        </is>
      </c>
      <c r="C995" t="inlineStr">
        <is>
          <t>樺輝永鑄</t>
        </is>
      </c>
      <c r="D995" t="inlineStr">
        <is>
          <t>內部</t>
        </is>
      </c>
      <c r="E995" t="inlineStr">
        <is>
          <t>內案</t>
        </is>
      </c>
      <c r="F995" s="3" t="n">
        <v>278009</v>
      </c>
      <c r="G995" s="3" t="n">
        <v>54201</v>
      </c>
      <c r="H995" s="3" t="n">
        <v>332210</v>
      </c>
      <c r="I995" s="3" t="n">
        <v>0</v>
      </c>
      <c r="J995" s="3" t="n">
        <v>522039.9999999997</v>
      </c>
    </row>
    <row r="996">
      <c r="A996" t="inlineStr">
        <is>
          <t>Year 2028</t>
        </is>
      </c>
      <c r="B996" t="inlineStr">
        <is>
          <t>C/9260C</t>
        </is>
      </c>
      <c r="C996" t="inlineStr">
        <is>
          <t>中華郵政信維</t>
        </is>
      </c>
      <c r="D996" t="inlineStr">
        <is>
          <t>內部</t>
        </is>
      </c>
      <c r="E996" t="inlineStr">
        <is>
          <t>內案</t>
        </is>
      </c>
      <c r="F996" s="3" t="n">
        <v>1522567</v>
      </c>
      <c r="G996" s="3" t="n">
        <v>657726</v>
      </c>
      <c r="H996" s="3" t="n">
        <v>2180293</v>
      </c>
      <c r="I996" s="3" t="n">
        <v>0</v>
      </c>
      <c r="J996" s="3" t="n">
        <v>3295000</v>
      </c>
    </row>
    <row r="997">
      <c r="A997" t="inlineStr">
        <is>
          <t>Year 2028</t>
        </is>
      </c>
      <c r="B997" t="inlineStr">
        <is>
          <t>C/9260D</t>
        </is>
      </c>
      <c r="C997" t="inlineStr">
        <is>
          <t>大安復興</t>
        </is>
      </c>
      <c r="D997" t="inlineStr">
        <is>
          <t>內部</t>
        </is>
      </c>
      <c r="E997" t="inlineStr">
        <is>
          <t>內案</t>
        </is>
      </c>
      <c r="F997" s="3" t="n">
        <v>123616</v>
      </c>
      <c r="G997" s="3" t="n">
        <v>49113</v>
      </c>
      <c r="H997" s="3" t="n">
        <v>172729</v>
      </c>
      <c r="I997" s="3" t="n">
        <v>0</v>
      </c>
      <c r="J997" s="3" t="n">
        <v>540000</v>
      </c>
    </row>
    <row r="998">
      <c r="A998" t="inlineStr">
        <is>
          <t>Year 2028</t>
        </is>
      </c>
      <c r="B998" t="inlineStr">
        <is>
          <t>C/9100B_26</t>
        </is>
      </c>
      <c r="C998" t="inlineStr">
        <is>
          <t>新取得BIM建築-26年</t>
        </is>
      </c>
      <c r="D998" t="inlineStr">
        <is>
          <t>內部</t>
        </is>
      </c>
      <c r="E998" t="inlineStr">
        <is>
          <t>內案</t>
        </is>
      </c>
      <c r="F998" s="3" t="n">
        <v>0</v>
      </c>
      <c r="G998" s="3" t="n">
        <v>0</v>
      </c>
      <c r="H998" s="3" t="n">
        <v>0</v>
      </c>
      <c r="I998" s="3" t="n">
        <v>0</v>
      </c>
      <c r="J998" s="3" t="n">
        <v>0</v>
      </c>
    </row>
    <row r="999">
      <c r="A999" t="inlineStr">
        <is>
          <t>Year 2028</t>
        </is>
      </c>
      <c r="B999" t="inlineStr">
        <is>
          <t>C/9100A_27</t>
        </is>
      </c>
      <c r="C999" t="inlineStr">
        <is>
          <t>新取得BIM建築-26年</t>
        </is>
      </c>
      <c r="D999" t="inlineStr">
        <is>
          <t>內部</t>
        </is>
      </c>
      <c r="E999" t="inlineStr">
        <is>
          <t>內案</t>
        </is>
      </c>
      <c r="F999" s="3" t="n">
        <v>0</v>
      </c>
      <c r="G999" s="3" t="n">
        <v>0</v>
      </c>
      <c r="H999" s="3" t="n">
        <v>0</v>
      </c>
      <c r="I999" s="3" t="n">
        <v>0</v>
      </c>
      <c r="J999" s="3" t="n">
        <v>0</v>
      </c>
    </row>
    <row r="1000">
      <c r="A1000" t="inlineStr">
        <is>
          <t>Year 2028</t>
        </is>
      </c>
      <c r="B1000" t="inlineStr">
        <is>
          <t>C/9100B_27</t>
        </is>
      </c>
      <c r="C1000" t="inlineStr">
        <is>
          <t>新取得BIM建築-27年</t>
        </is>
      </c>
      <c r="D1000" t="inlineStr">
        <is>
          <t>內部</t>
        </is>
      </c>
      <c r="E1000" t="inlineStr">
        <is>
          <t>內案</t>
        </is>
      </c>
      <c r="F1000" s="3" t="n">
        <v>8115267</v>
      </c>
      <c r="G1000" s="3" t="n">
        <v>3071733</v>
      </c>
      <c r="H1000" s="3" t="n">
        <v>11187000</v>
      </c>
      <c r="I1000" s="3" t="n">
        <v>0</v>
      </c>
      <c r="J1000" s="3" t="n">
        <v>11066000</v>
      </c>
    </row>
    <row r="1001">
      <c r="A1001" t="inlineStr">
        <is>
          <t>Year 2028</t>
        </is>
      </c>
      <c r="B1001" t="inlineStr">
        <is>
          <t>C/9100C_27</t>
        </is>
      </c>
      <c r="C1001" t="inlineStr">
        <is>
          <t>新取得BIM建築-28年</t>
        </is>
      </c>
      <c r="D1001" t="inlineStr">
        <is>
          <t>內部</t>
        </is>
      </c>
      <c r="E1001" t="inlineStr">
        <is>
          <t>內案</t>
        </is>
      </c>
      <c r="F1001" s="3" t="n">
        <v>8413388</v>
      </c>
      <c r="G1001" s="3" t="n">
        <v>3172482</v>
      </c>
      <c r="H1001" s="3" t="n">
        <v>11585870</v>
      </c>
      <c r="I1001" s="3" t="n">
        <v>0</v>
      </c>
      <c r="J1001" s="3" t="n">
        <v>12137000</v>
      </c>
    </row>
    <row r="1002">
      <c r="A1002" t="inlineStr">
        <is>
          <t>Year 2028</t>
        </is>
      </c>
      <c r="B1002" t="inlineStr">
        <is>
          <t>C/9100D_27</t>
        </is>
      </c>
      <c r="C1002" t="inlineStr">
        <is>
          <t>新取得BIM建築-29年</t>
        </is>
      </c>
      <c r="D1002" t="inlineStr">
        <is>
          <t>內部</t>
        </is>
      </c>
      <c r="E1002" t="inlineStr">
        <is>
          <t>內案</t>
        </is>
      </c>
      <c r="F1002" s="3" t="n">
        <v>0</v>
      </c>
      <c r="G1002" s="3" t="n">
        <v>0</v>
      </c>
      <c r="H1002" s="3" t="n">
        <v>0</v>
      </c>
      <c r="I1002" s="3" t="n">
        <v>0</v>
      </c>
      <c r="J1002" s="3" t="n">
        <v>0</v>
      </c>
    </row>
    <row r="1003">
      <c r="A1003" t="inlineStr">
        <is>
          <t>Year 2028</t>
        </is>
      </c>
      <c r="B1003" t="inlineStr">
        <is>
          <t>C/9100E_27</t>
        </is>
      </c>
      <c r="C1003" t="inlineStr">
        <is>
          <t>新取得BIM建築-30年</t>
        </is>
      </c>
      <c r="D1003" t="inlineStr">
        <is>
          <t>內部</t>
        </is>
      </c>
      <c r="E1003" t="inlineStr">
        <is>
          <t>內案</t>
        </is>
      </c>
      <c r="F1003" s="3" t="n">
        <v>0</v>
      </c>
      <c r="G1003" s="3" t="n">
        <v>0</v>
      </c>
      <c r="H1003" s="3" t="n">
        <v>0</v>
      </c>
      <c r="I1003" s="3" t="n">
        <v>0</v>
      </c>
      <c r="J1003" s="3" t="n">
        <v>0</v>
      </c>
    </row>
    <row r="1004">
      <c r="A1004" t="inlineStr">
        <is>
          <t>Year 2028</t>
        </is>
      </c>
      <c r="B1004" t="inlineStr">
        <is>
          <t>C/9100F_27</t>
        </is>
      </c>
      <c r="C1004" t="inlineStr">
        <is>
          <t>新取得BIM建築-31年</t>
        </is>
      </c>
      <c r="D1004" t="inlineStr">
        <is>
          <t>內部</t>
        </is>
      </c>
      <c r="E1004" t="inlineStr">
        <is>
          <t>內案</t>
        </is>
      </c>
      <c r="F1004" s="3" t="n">
        <v>0</v>
      </c>
      <c r="G1004" s="3" t="n">
        <v>0</v>
      </c>
      <c r="H1004" s="3" t="n">
        <v>0</v>
      </c>
      <c r="I1004" s="3" t="n">
        <v>0</v>
      </c>
      <c r="J1004" s="3" t="n">
        <v>0</v>
      </c>
    </row>
    <row r="1005">
      <c r="A1005" t="inlineStr">
        <is>
          <t>Year 2028</t>
        </is>
      </c>
      <c r="B1005" t="inlineStr">
        <is>
          <t>C/99992</t>
        </is>
      </c>
      <c r="C1005" t="inlineStr">
        <is>
          <t>雜項BIM土木機電</t>
        </is>
      </c>
      <c r="D1005" t="inlineStr">
        <is>
          <t>內/無</t>
        </is>
      </c>
      <c r="E1005" t="inlineStr">
        <is>
          <t>雜項</t>
        </is>
      </c>
      <c r="F1005" s="3" t="n">
        <v>810222</v>
      </c>
      <c r="G1005" s="3" t="n">
        <v>239778</v>
      </c>
      <c r="H1005" s="3" t="n">
        <v>1050000</v>
      </c>
      <c r="I1005" s="3" t="n">
        <v>0</v>
      </c>
      <c r="J1005" s="3" t="n">
        <v>1050000</v>
      </c>
    </row>
    <row r="1006">
      <c r="A1006" t="inlineStr">
        <is>
          <t>Year 2028</t>
        </is>
      </c>
      <c r="B1006" t="inlineStr">
        <is>
          <t>C/99992-1</t>
        </is>
      </c>
      <c r="C1006" t="inlineStr">
        <is>
          <t>雜項BIM土木機電(外案收入)</t>
        </is>
      </c>
      <c r="D1006" t="inlineStr">
        <is>
          <t>外部</t>
        </is>
      </c>
      <c r="E1006" t="inlineStr">
        <is>
          <t>外案</t>
        </is>
      </c>
      <c r="F1006" s="3" t="n">
        <v>0</v>
      </c>
      <c r="G1006" s="3" t="n">
        <v>0</v>
      </c>
      <c r="H1006" s="3" t="n">
        <v>0</v>
      </c>
      <c r="I1006" s="3" t="n">
        <v>0</v>
      </c>
      <c r="J1006" s="3" t="n">
        <v>0</v>
      </c>
    </row>
    <row r="1007">
      <c r="A1007" t="inlineStr">
        <is>
          <t>Year 2028</t>
        </is>
      </c>
      <c r="B1007" t="inlineStr">
        <is>
          <t>C/99993</t>
        </is>
      </c>
      <c r="C1007" t="inlineStr">
        <is>
          <t>備標BIM土木機電</t>
        </is>
      </c>
      <c r="D1007" t="inlineStr">
        <is>
          <t>備標</t>
        </is>
      </c>
      <c r="E1007" t="inlineStr">
        <is>
          <t>備標</t>
        </is>
      </c>
      <c r="F1007" s="3" t="n">
        <v>300088</v>
      </c>
      <c r="G1007" s="3" t="n">
        <v>119912</v>
      </c>
      <c r="H1007" s="3" t="n">
        <v>420000</v>
      </c>
      <c r="I1007" s="3" t="n">
        <v>0</v>
      </c>
      <c r="J1007" s="3" t="n">
        <v>420000</v>
      </c>
    </row>
    <row r="1008">
      <c r="A1008" t="inlineStr">
        <is>
          <t>Year 2028</t>
        </is>
      </c>
      <c r="B1008" t="inlineStr">
        <is>
          <t>C/9999B</t>
        </is>
      </c>
      <c r="C1008" t="inlineStr">
        <is>
          <t>雜項BIM建築</t>
        </is>
      </c>
      <c r="D1008" t="inlineStr">
        <is>
          <t>內/無</t>
        </is>
      </c>
      <c r="E1008" t="inlineStr">
        <is>
          <t>雜項</t>
        </is>
      </c>
      <c r="F1008" s="3" t="n">
        <v>0</v>
      </c>
      <c r="G1008" s="3" t="n">
        <v>0</v>
      </c>
      <c r="H1008" s="3" t="n">
        <v>0</v>
      </c>
      <c r="I1008" s="3" t="n">
        <v>0</v>
      </c>
      <c r="J1008" s="3" t="n">
        <v>0</v>
      </c>
    </row>
    <row r="1009">
      <c r="A1009" t="inlineStr">
        <is>
          <t>Year 2028</t>
        </is>
      </c>
      <c r="B1009" t="inlineStr">
        <is>
          <t>C/9999D</t>
        </is>
      </c>
      <c r="C1009" t="inlineStr">
        <is>
          <t>備標BIM建築</t>
        </is>
      </c>
      <c r="D1009" t="inlineStr">
        <is>
          <t>備標</t>
        </is>
      </c>
      <c r="E1009" t="inlineStr">
        <is>
          <t>備標</t>
        </is>
      </c>
      <c r="F1009" s="3" t="n">
        <v>0</v>
      </c>
      <c r="G1009" s="3" t="n">
        <v>0</v>
      </c>
      <c r="H1009" s="3" t="n">
        <v>0</v>
      </c>
      <c r="I1009" s="3" t="n">
        <v>0</v>
      </c>
      <c r="J1009" s="3" t="n">
        <v>0</v>
      </c>
    </row>
    <row r="1010">
      <c r="A1010" t="inlineStr">
        <is>
          <t>累計 Year 2028</t>
        </is>
      </c>
      <c r="B1010" t="inlineStr">
        <is>
          <t>C/92103</t>
        </is>
      </c>
      <c r="C1010" t="inlineStr">
        <is>
          <t>CQ840 BIM</t>
        </is>
      </c>
      <c r="D1010" t="inlineStr">
        <is>
          <t>內部</t>
        </is>
      </c>
      <c r="E1010" t="inlineStr">
        <is>
          <t>內案</t>
        </is>
      </c>
      <c r="F1010" s="3" t="n">
        <v>1966785</v>
      </c>
      <c r="G1010" s="3" t="n">
        <v>-334392</v>
      </c>
      <c r="H1010" s="3" t="n">
        <v>1632393</v>
      </c>
      <c r="I1010" s="3" t="n">
        <v>0</v>
      </c>
      <c r="J1010" s="3" t="n">
        <v>1632393</v>
      </c>
    </row>
    <row r="1011">
      <c r="A1011" t="inlineStr">
        <is>
          <t>累計 Year 2028</t>
        </is>
      </c>
      <c r="B1011" t="inlineStr">
        <is>
          <t>C/92202</t>
        </is>
      </c>
      <c r="C1011" t="inlineStr">
        <is>
          <t>CF680C BIM</t>
        </is>
      </c>
      <c r="D1011" t="inlineStr">
        <is>
          <t>內部</t>
        </is>
      </c>
      <c r="E1011" t="inlineStr">
        <is>
          <t>內案</t>
        </is>
      </c>
      <c r="F1011" s="3" t="n">
        <v>11812638</v>
      </c>
      <c r="G1011" s="3" t="n">
        <v>5680447</v>
      </c>
      <c r="H1011" s="3" t="n">
        <v>17493085</v>
      </c>
      <c r="I1011" s="3" t="n">
        <v>0</v>
      </c>
      <c r="J1011" s="3" t="n">
        <v>18508000</v>
      </c>
    </row>
    <row r="1012">
      <c r="A1012" t="inlineStr">
        <is>
          <t>累計 Year 2028</t>
        </is>
      </c>
      <c r="B1012" t="inlineStr">
        <is>
          <t>C/92203</t>
        </is>
      </c>
      <c r="C1012" t="inlineStr">
        <is>
          <t>N－WH BIM</t>
        </is>
      </c>
      <c r="D1012" t="inlineStr">
        <is>
          <t>內部</t>
        </is>
      </c>
      <c r="E1012" t="inlineStr">
        <is>
          <t>內案</t>
        </is>
      </c>
      <c r="F1012" s="3" t="n">
        <v>8457888</v>
      </c>
      <c r="G1012" s="3" t="n">
        <v>2922662</v>
      </c>
      <c r="H1012" s="3" t="n">
        <v>11380550</v>
      </c>
      <c r="I1012" s="3" t="n">
        <v>0</v>
      </c>
      <c r="J1012" s="3" t="n">
        <v>11380550</v>
      </c>
    </row>
    <row r="1013">
      <c r="A1013" t="inlineStr">
        <is>
          <t>累計 Year 2028</t>
        </is>
      </c>
      <c r="B1013" t="inlineStr">
        <is>
          <t>C/92204</t>
        </is>
      </c>
      <c r="C1013" t="inlineStr">
        <is>
          <t>國揚吉林機電</t>
        </is>
      </c>
      <c r="D1013" t="inlineStr">
        <is>
          <t>內部</t>
        </is>
      </c>
      <c r="E1013" t="inlineStr">
        <is>
          <t>內案</t>
        </is>
      </c>
      <c r="F1013" s="3" t="n">
        <v>1258917</v>
      </c>
      <c r="G1013" s="3" t="n">
        <v>691083</v>
      </c>
      <c r="H1013" s="3" t="n">
        <v>1950000</v>
      </c>
      <c r="I1013" s="3" t="n">
        <v>0</v>
      </c>
      <c r="J1013" s="3" t="n">
        <v>1950000</v>
      </c>
    </row>
    <row r="1014">
      <c r="A1014" t="inlineStr">
        <is>
          <t>累計 Year 2028</t>
        </is>
      </c>
      <c r="B1014" t="inlineStr">
        <is>
          <t>C/92301</t>
        </is>
      </c>
      <c r="C1014" t="inlineStr">
        <is>
          <t>CF670A BIM 土木機電</t>
        </is>
      </c>
      <c r="D1014" t="inlineStr">
        <is>
          <t>內部</t>
        </is>
      </c>
      <c r="E1014" t="inlineStr">
        <is>
          <t>內案</t>
        </is>
      </c>
      <c r="F1014" s="3" t="n">
        <v>9646789</v>
      </c>
      <c r="G1014" s="3" t="n">
        <v>1107975</v>
      </c>
      <c r="H1014" s="3" t="n">
        <v>10754764</v>
      </c>
      <c r="I1014" s="3" t="n">
        <v>0</v>
      </c>
      <c r="J1014" s="3" t="n">
        <v>12777000</v>
      </c>
    </row>
    <row r="1015">
      <c r="A1015" t="inlineStr">
        <is>
          <t>累計 Year 2028</t>
        </is>
      </c>
      <c r="B1015" t="inlineStr">
        <is>
          <t>C/92302</t>
        </is>
      </c>
      <c r="C1015" t="inlineStr">
        <is>
          <t>富邦忠孝懷生BIM機電</t>
        </is>
      </c>
      <c r="D1015" t="inlineStr">
        <is>
          <t>內部</t>
        </is>
      </c>
      <c r="E1015" t="inlineStr">
        <is>
          <t>內案</t>
        </is>
      </c>
      <c r="F1015" s="3" t="n">
        <v>4575503</v>
      </c>
      <c r="G1015" s="3" t="n">
        <v>-195503</v>
      </c>
      <c r="H1015" s="3" t="n">
        <v>4380000</v>
      </c>
      <c r="I1015" s="3" t="n">
        <v>0</v>
      </c>
      <c r="J1015" s="3" t="n">
        <v>4380000</v>
      </c>
    </row>
    <row r="1016">
      <c r="A1016" t="inlineStr">
        <is>
          <t>累計 Year 2028</t>
        </is>
      </c>
      <c r="B1016" t="inlineStr">
        <is>
          <t>C/92303</t>
        </is>
      </c>
      <c r="C1016" t="inlineStr">
        <is>
          <t>信義兒福BIM機電</t>
        </is>
      </c>
      <c r="D1016" t="inlineStr">
        <is>
          <t>外部</t>
        </is>
      </c>
      <c r="E1016" t="inlineStr">
        <is>
          <t>外案</t>
        </is>
      </c>
      <c r="F1016" s="3" t="n">
        <v>2138244</v>
      </c>
      <c r="G1016" s="3" t="n">
        <v>516958</v>
      </c>
      <c r="H1016" s="3" t="n">
        <v>2655202</v>
      </c>
      <c r="I1016" s="3" t="n">
        <v>0</v>
      </c>
      <c r="J1016" s="3" t="n">
        <v>3078000</v>
      </c>
    </row>
    <row r="1017">
      <c r="A1017" t="inlineStr">
        <is>
          <t>累計 Year 2028</t>
        </is>
      </c>
      <c r="B1017" t="inlineStr">
        <is>
          <t>C/92304</t>
        </is>
      </c>
      <c r="C1017" t="inlineStr">
        <is>
          <t>捷運劍潭站TOD統包BIM機電</t>
        </is>
      </c>
      <c r="D1017" t="inlineStr">
        <is>
          <t>內部</t>
        </is>
      </c>
      <c r="E1017" t="inlineStr">
        <is>
          <t>內案</t>
        </is>
      </c>
      <c r="F1017" s="3" t="n">
        <v>7041372</v>
      </c>
      <c r="G1017" s="3" t="n">
        <v>758628</v>
      </c>
      <c r="H1017" s="3" t="n">
        <v>7800000</v>
      </c>
      <c r="I1017" s="3" t="n">
        <v>0</v>
      </c>
      <c r="J1017" s="3" t="n">
        <v>7800000</v>
      </c>
    </row>
    <row r="1018">
      <c r="A1018" t="inlineStr">
        <is>
          <t>累計 Year 2028</t>
        </is>
      </c>
      <c r="B1018" t="inlineStr">
        <is>
          <t>C/92401</t>
        </is>
      </c>
      <c r="C1018" t="inlineStr">
        <is>
          <t>CJ17 土木機電</t>
        </is>
      </c>
      <c r="D1018" t="inlineStr">
        <is>
          <t>內部</t>
        </is>
      </c>
      <c r="E1018" t="inlineStr">
        <is>
          <t>內案</t>
        </is>
      </c>
      <c r="F1018" s="3" t="n">
        <v>8429816</v>
      </c>
      <c r="G1018" s="3" t="n">
        <v>4081200</v>
      </c>
      <c r="H1018" s="3" t="n">
        <v>12511016</v>
      </c>
      <c r="I1018" s="3" t="n">
        <v>0</v>
      </c>
      <c r="J1018" s="3" t="n">
        <v>17593000</v>
      </c>
    </row>
    <row r="1019">
      <c r="A1019" t="inlineStr">
        <is>
          <t>累計 Year 2028</t>
        </is>
      </c>
      <c r="B1019" t="inlineStr">
        <is>
          <t>C/92501</t>
        </is>
      </c>
      <c r="C1019" t="inlineStr">
        <is>
          <t>CF670 BIM土木機電</t>
        </is>
      </c>
      <c r="D1019" t="inlineStr">
        <is>
          <t>內部</t>
        </is>
      </c>
      <c r="E1019" t="inlineStr">
        <is>
          <t>內案</t>
        </is>
      </c>
      <c r="F1019" s="3" t="n">
        <v>10852897</v>
      </c>
      <c r="G1019" s="3" t="n">
        <v>5182693</v>
      </c>
      <c r="H1019" s="3" t="n">
        <v>16035590</v>
      </c>
      <c r="I1019" s="3" t="n">
        <v>0</v>
      </c>
      <c r="J1019" s="3" t="n">
        <v>16477750</v>
      </c>
    </row>
    <row r="1020">
      <c r="A1020" t="inlineStr">
        <is>
          <t>累計 Year 2028</t>
        </is>
      </c>
      <c r="B1020" t="inlineStr">
        <is>
          <t>C/92502</t>
        </is>
      </c>
      <c r="C1020" t="inlineStr">
        <is>
          <t>擎邦-聯發科機電</t>
        </is>
      </c>
      <c r="D1020" t="inlineStr">
        <is>
          <t>外部</t>
        </is>
      </c>
      <c r="E1020" t="inlineStr">
        <is>
          <t>外案</t>
        </is>
      </c>
      <c r="F1020" s="3" t="n">
        <v>2812703</v>
      </c>
      <c r="G1020" s="3" t="n">
        <v>2187297</v>
      </c>
      <c r="H1020" s="3" t="n">
        <v>5000000</v>
      </c>
      <c r="I1020" s="3" t="n">
        <v>0</v>
      </c>
      <c r="J1020" s="3" t="n">
        <v>5000000</v>
      </c>
    </row>
    <row r="1021">
      <c r="A1021" t="inlineStr">
        <is>
          <t>累計 Year 2028</t>
        </is>
      </c>
      <c r="B1021" t="inlineStr">
        <is>
          <t>C/92503</t>
        </is>
      </c>
      <c r="C1021" t="inlineStr">
        <is>
          <t>CF690B BIM土木</t>
        </is>
      </c>
      <c r="D1021" t="inlineStr">
        <is>
          <t>外部</t>
        </is>
      </c>
      <c r="E1021" t="inlineStr">
        <is>
          <t>外案</t>
        </is>
      </c>
      <c r="F1021" s="3" t="n">
        <v>1787099</v>
      </c>
      <c r="G1021" s="3" t="n">
        <v>745167</v>
      </c>
      <c r="H1021" s="3" t="n">
        <v>2532266</v>
      </c>
      <c r="I1021" s="3" t="n">
        <v>0</v>
      </c>
      <c r="J1021" s="3" t="n">
        <v>5605100</v>
      </c>
    </row>
    <row r="1022">
      <c r="A1022" t="inlineStr">
        <is>
          <t>累計 Year 2028</t>
        </is>
      </c>
      <c r="B1022" t="inlineStr">
        <is>
          <t>C/92504</t>
        </is>
      </c>
      <c r="C1022" t="inlineStr">
        <is>
          <t>擎邦-員榮總醫院BIM</t>
        </is>
      </c>
      <c r="D1022" t="inlineStr">
        <is>
          <t>外部</t>
        </is>
      </c>
      <c r="E1022" t="inlineStr">
        <is>
          <t>外案</t>
        </is>
      </c>
      <c r="F1022" s="3" t="n">
        <v>6304845</v>
      </c>
      <c r="G1022" s="3" t="n">
        <v>3095155</v>
      </c>
      <c r="H1022" s="3" t="n">
        <v>9400000</v>
      </c>
      <c r="I1022" s="3" t="n">
        <v>0</v>
      </c>
      <c r="J1022" s="3" t="n">
        <v>9400000</v>
      </c>
    </row>
    <row r="1023">
      <c r="A1023" t="inlineStr">
        <is>
          <t>累計 Year 2028</t>
        </is>
      </c>
      <c r="B1023" t="inlineStr">
        <is>
          <t>C/92601</t>
        </is>
      </c>
      <c r="C1023" t="inlineStr">
        <is>
          <t>擎邦-聯發科銅鑼</t>
        </is>
      </c>
      <c r="D1023" t="inlineStr">
        <is>
          <t>外部</t>
        </is>
      </c>
      <c r="E1023" t="inlineStr">
        <is>
          <t>外案</t>
        </is>
      </c>
      <c r="F1023" s="3" t="n">
        <v>575468</v>
      </c>
      <c r="G1023" s="3" t="n">
        <v>754532</v>
      </c>
      <c r="H1023" s="3" t="n">
        <v>1330000</v>
      </c>
      <c r="I1023" s="3" t="n">
        <v>0</v>
      </c>
      <c r="J1023" s="3" t="n">
        <v>1330000</v>
      </c>
    </row>
    <row r="1024">
      <c r="A1024" t="inlineStr">
        <is>
          <t>累計 Year 2028</t>
        </is>
      </c>
      <c r="B1024" t="inlineStr">
        <is>
          <t>C/92602</t>
        </is>
      </c>
      <c r="C1024" t="inlineStr">
        <is>
          <t>擎邦-CF624F機電(CF690B機電)</t>
        </is>
      </c>
      <c r="D1024" t="inlineStr">
        <is>
          <t>外部</t>
        </is>
      </c>
      <c r="E1024" t="inlineStr">
        <is>
          <t>外案</t>
        </is>
      </c>
      <c r="F1024" s="3" t="n">
        <v>5443754</v>
      </c>
      <c r="G1024" s="3" t="n">
        <v>2540125</v>
      </c>
      <c r="H1024" s="3" t="n">
        <v>7983879</v>
      </c>
      <c r="I1024" s="3" t="n">
        <v>0</v>
      </c>
      <c r="J1024" s="3" t="n">
        <v>5584000</v>
      </c>
    </row>
    <row r="1025">
      <c r="A1025" t="inlineStr">
        <is>
          <t>累計 Year 2028</t>
        </is>
      </c>
      <c r="B1025" t="inlineStr">
        <is>
          <t>C/92603</t>
        </is>
      </c>
      <c r="C1025" t="inlineStr">
        <is>
          <t>中華郵政信維機電</t>
        </is>
      </c>
      <c r="D1025" t="inlineStr">
        <is>
          <t>內部</t>
        </is>
      </c>
      <c r="E1025" t="inlineStr">
        <is>
          <t>內案</t>
        </is>
      </c>
      <c r="F1025" s="3" t="n">
        <v>5046290</v>
      </c>
      <c r="G1025" s="3" t="n">
        <v>2477538</v>
      </c>
      <c r="H1025" s="3" t="n">
        <v>7523828</v>
      </c>
      <c r="I1025" s="3" t="n">
        <v>0</v>
      </c>
      <c r="J1025" s="3" t="n">
        <v>8904000</v>
      </c>
    </row>
    <row r="1026">
      <c r="A1026" t="inlineStr">
        <is>
          <t>累計 Year 2028</t>
        </is>
      </c>
      <c r="B1026" t="inlineStr">
        <is>
          <t>C/91001_26</t>
        </is>
      </c>
      <c r="C1026" t="inlineStr">
        <is>
          <t>新取得BIM土木機電-26年</t>
        </is>
      </c>
      <c r="D1026" t="inlineStr">
        <is>
          <t>內部</t>
        </is>
      </c>
      <c r="E1026" t="inlineStr">
        <is>
          <t>內案</t>
        </is>
      </c>
      <c r="F1026" s="3" t="n">
        <v>0</v>
      </c>
      <c r="G1026" s="3" t="n">
        <v>0</v>
      </c>
      <c r="H1026" s="3" t="n">
        <v>0</v>
      </c>
      <c r="I1026" s="3" t="n">
        <v>0</v>
      </c>
      <c r="J1026" s="3" t="n">
        <v>0</v>
      </c>
    </row>
    <row r="1027">
      <c r="A1027" t="inlineStr">
        <is>
          <t>累計 Year 2028</t>
        </is>
      </c>
      <c r="B1027" t="inlineStr">
        <is>
          <t>C/91000_27</t>
        </is>
      </c>
      <c r="C1027" t="inlineStr">
        <is>
          <t>新取得BIM土木機電-26年</t>
        </is>
      </c>
      <c r="D1027" t="inlineStr">
        <is>
          <t>內部</t>
        </is>
      </c>
      <c r="E1027" t="inlineStr">
        <is>
          <t>內案</t>
        </is>
      </c>
      <c r="F1027" s="3" t="n">
        <v>0</v>
      </c>
      <c r="G1027" s="3" t="n">
        <v>0</v>
      </c>
      <c r="H1027" s="3" t="n">
        <v>0</v>
      </c>
      <c r="I1027" s="3" t="n">
        <v>0</v>
      </c>
      <c r="J1027" s="3" t="n">
        <v>0</v>
      </c>
    </row>
    <row r="1028">
      <c r="A1028" t="inlineStr">
        <is>
          <t>累計 Year 2028</t>
        </is>
      </c>
      <c r="B1028" t="inlineStr">
        <is>
          <t>C/91001_27</t>
        </is>
      </c>
      <c r="C1028" t="inlineStr">
        <is>
          <t>新取得BIM土木機電-27年</t>
        </is>
      </c>
      <c r="D1028" t="inlineStr">
        <is>
          <t>內部</t>
        </is>
      </c>
      <c r="E1028" t="inlineStr">
        <is>
          <t>內案</t>
        </is>
      </c>
      <c r="F1028" s="3" t="n">
        <v>10540206</v>
      </c>
      <c r="G1028" s="3" t="n">
        <v>5277587</v>
      </c>
      <c r="H1028" s="3" t="n">
        <v>15817793</v>
      </c>
      <c r="I1028" s="3" t="n">
        <v>0</v>
      </c>
      <c r="J1028" s="3" t="n">
        <v>15124000</v>
      </c>
    </row>
    <row r="1029">
      <c r="A1029" t="inlineStr">
        <is>
          <t>累計 Year 2028</t>
        </is>
      </c>
      <c r="B1029" t="inlineStr">
        <is>
          <t>C/91002_27</t>
        </is>
      </c>
      <c r="C1029" t="inlineStr">
        <is>
          <t>新取得BIM土木機電-28年</t>
        </is>
      </c>
      <c r="D1029" t="inlineStr">
        <is>
          <t>內部</t>
        </is>
      </c>
      <c r="E1029" t="inlineStr">
        <is>
          <t>內案</t>
        </is>
      </c>
      <c r="F1029" s="3" t="n">
        <v>3265925</v>
      </c>
      <c r="G1029" s="3" t="n">
        <v>1600231</v>
      </c>
      <c r="H1029" s="3" t="n">
        <v>4866156</v>
      </c>
      <c r="I1029" s="3" t="n">
        <v>0</v>
      </c>
      <c r="J1029" s="3" t="n">
        <v>7000000</v>
      </c>
    </row>
    <row r="1030">
      <c r="A1030" t="inlineStr">
        <is>
          <t>累計 Year 2028</t>
        </is>
      </c>
      <c r="B1030" t="inlineStr">
        <is>
          <t>C/91003_27</t>
        </is>
      </c>
      <c r="C1030" t="inlineStr">
        <is>
          <t>新取得BIM土木機電-29年</t>
        </is>
      </c>
      <c r="D1030" t="inlineStr">
        <is>
          <t>內部</t>
        </is>
      </c>
      <c r="E1030" t="inlineStr">
        <is>
          <t>內案</t>
        </is>
      </c>
      <c r="F1030" s="3" t="n">
        <v>0</v>
      </c>
      <c r="G1030" s="3" t="n">
        <v>0</v>
      </c>
      <c r="H1030" s="3" t="n">
        <v>0</v>
      </c>
      <c r="I1030" s="3" t="n">
        <v>0</v>
      </c>
      <c r="J1030" s="3" t="n">
        <v>0</v>
      </c>
    </row>
    <row r="1031">
      <c r="A1031" t="inlineStr">
        <is>
          <t>累計 Year 2028</t>
        </is>
      </c>
      <c r="B1031" t="inlineStr">
        <is>
          <t>C/91004_27</t>
        </is>
      </c>
      <c r="C1031" t="inlineStr">
        <is>
          <t>新取得BIM土木機電-30年</t>
        </is>
      </c>
      <c r="D1031" t="inlineStr">
        <is>
          <t>內部</t>
        </is>
      </c>
      <c r="E1031" t="inlineStr">
        <is>
          <t>內案</t>
        </is>
      </c>
      <c r="F1031" s="3" t="n">
        <v>0</v>
      </c>
      <c r="G1031" s="3" t="n">
        <v>0</v>
      </c>
      <c r="H1031" s="3" t="n">
        <v>0</v>
      </c>
      <c r="I1031" s="3" t="n">
        <v>0</v>
      </c>
      <c r="J1031" s="3" t="n">
        <v>0</v>
      </c>
    </row>
    <row r="1032">
      <c r="A1032" t="inlineStr">
        <is>
          <t>累計 Year 2028</t>
        </is>
      </c>
      <c r="B1032" t="inlineStr">
        <is>
          <t>C/91005_27</t>
        </is>
      </c>
      <c r="C1032" t="inlineStr">
        <is>
          <t>新取得BIM土木機電-31年</t>
        </is>
      </c>
      <c r="D1032" t="inlineStr">
        <is>
          <t>內部</t>
        </is>
      </c>
      <c r="E1032" t="inlineStr">
        <is>
          <t>內案</t>
        </is>
      </c>
      <c r="F1032" s="3" t="n">
        <v>0</v>
      </c>
      <c r="G1032" s="3" t="n">
        <v>0</v>
      </c>
      <c r="H1032" s="3" t="n">
        <v>0</v>
      </c>
      <c r="I1032" s="3" t="n">
        <v>0</v>
      </c>
      <c r="J1032" s="3" t="n">
        <v>0</v>
      </c>
    </row>
    <row r="1033">
      <c r="A1033" t="inlineStr">
        <is>
          <t>累計 Year 2028</t>
        </is>
      </c>
      <c r="B1033" t="inlineStr">
        <is>
          <t>C/9210F</t>
        </is>
      </c>
      <c r="C1033" t="inlineStr">
        <is>
          <t>南港機廠BIM建築</t>
        </is>
      </c>
      <c r="D1033" t="inlineStr">
        <is>
          <t>外部</t>
        </is>
      </c>
      <c r="E1033" t="inlineStr">
        <is>
          <t>外案</t>
        </is>
      </c>
      <c r="F1033" s="3" t="n">
        <v>7070420</v>
      </c>
      <c r="G1033" s="3" t="n">
        <v>4041580</v>
      </c>
      <c r="H1033" s="3" t="n">
        <v>11112000</v>
      </c>
      <c r="I1033" s="3" t="n">
        <v>0</v>
      </c>
      <c r="J1033" s="3" t="n">
        <v>11112000</v>
      </c>
    </row>
    <row r="1034">
      <c r="A1034" t="inlineStr">
        <is>
          <t>累計 Year 2028</t>
        </is>
      </c>
      <c r="B1034" t="inlineStr">
        <is>
          <t>C/9210G</t>
        </is>
      </c>
      <c r="C1034" t="inlineStr">
        <is>
          <t>富邦忠孝懷生BIM建築</t>
        </is>
      </c>
      <c r="D1034" t="inlineStr">
        <is>
          <t>內部</t>
        </is>
      </c>
      <c r="E1034" t="inlineStr">
        <is>
          <t>內案</t>
        </is>
      </c>
      <c r="F1034" s="3" t="n">
        <v>8421321</v>
      </c>
      <c r="G1034" s="3" t="n">
        <v>-795674</v>
      </c>
      <c r="H1034" s="3" t="n">
        <v>7625647</v>
      </c>
      <c r="I1034" s="3" t="n">
        <v>-20279</v>
      </c>
      <c r="J1034" s="3" t="n">
        <v>7820000</v>
      </c>
    </row>
    <row r="1035">
      <c r="A1035" t="inlineStr">
        <is>
          <t>累計 Year 2028</t>
        </is>
      </c>
      <c r="B1035" t="inlineStr">
        <is>
          <t>C/9220E</t>
        </is>
      </c>
      <c r="C1035" t="inlineStr">
        <is>
          <t>柏鴻北士科 C/9100A-22A</t>
        </is>
      </c>
      <c r="D1035" t="inlineStr">
        <is>
          <t>內部</t>
        </is>
      </c>
      <c r="E1035" t="inlineStr">
        <is>
          <t>內案</t>
        </is>
      </c>
      <c r="F1035" s="3" t="n">
        <v>2328910</v>
      </c>
      <c r="G1035" s="3" t="n">
        <v>1596878</v>
      </c>
      <c r="H1035" s="3" t="n">
        <v>3925788</v>
      </c>
      <c r="I1035" s="3" t="n">
        <v>0</v>
      </c>
      <c r="J1035" s="3" t="n">
        <v>4030000</v>
      </c>
    </row>
    <row r="1036">
      <c r="A1036" t="inlineStr">
        <is>
          <t>累計 Year 2028</t>
        </is>
      </c>
      <c r="B1036" t="inlineStr">
        <is>
          <t>C/9230A</t>
        </is>
      </c>
      <c r="C1036" t="inlineStr">
        <is>
          <t>信義兒福BIM建築</t>
        </is>
      </c>
      <c r="D1036" t="inlineStr">
        <is>
          <t>外部</t>
        </is>
      </c>
      <c r="E1036" t="inlineStr">
        <is>
          <t>外案</t>
        </is>
      </c>
      <c r="F1036" s="3" t="n">
        <v>2394752</v>
      </c>
      <c r="G1036" s="3" t="n">
        <v>950933</v>
      </c>
      <c r="H1036" s="3" t="n">
        <v>3345685</v>
      </c>
      <c r="I1036" s="3" t="n">
        <v>0</v>
      </c>
      <c r="J1036" s="3" t="n">
        <v>2949500</v>
      </c>
    </row>
    <row r="1037">
      <c r="A1037" t="inlineStr">
        <is>
          <t>累計 Year 2028</t>
        </is>
      </c>
      <c r="B1037" t="inlineStr">
        <is>
          <t>C/9230B</t>
        </is>
      </c>
      <c r="C1037" t="inlineStr">
        <is>
          <t>北捷劍潭TOD</t>
        </is>
      </c>
      <c r="D1037" t="inlineStr">
        <is>
          <t>內部</t>
        </is>
      </c>
      <c r="E1037" t="inlineStr">
        <is>
          <t>內案</t>
        </is>
      </c>
      <c r="F1037" s="3" t="n">
        <v>12015135</v>
      </c>
      <c r="G1037" s="3" t="n">
        <v>6652560</v>
      </c>
      <c r="H1037" s="3" t="n">
        <v>18667695</v>
      </c>
      <c r="I1037" s="3" t="n">
        <v>0</v>
      </c>
      <c r="J1037" s="3" t="n">
        <v>19200000</v>
      </c>
    </row>
    <row r="1038">
      <c r="A1038" t="inlineStr">
        <is>
          <t>累計 Year 2028</t>
        </is>
      </c>
      <c r="B1038" t="inlineStr">
        <is>
          <t>C/9230C</t>
        </is>
      </c>
      <c r="C1038" t="inlineStr">
        <is>
          <t>慶城福華-23年</t>
        </is>
      </c>
      <c r="D1038" t="inlineStr">
        <is>
          <t>內部</t>
        </is>
      </c>
      <c r="E1038" t="inlineStr">
        <is>
          <t>內案</t>
        </is>
      </c>
      <c r="F1038" s="3" t="n">
        <v>2933733</v>
      </c>
      <c r="G1038" s="3" t="n">
        <v>1595217</v>
      </c>
      <c r="H1038" s="3" t="n">
        <v>4528950</v>
      </c>
      <c r="I1038" s="3" t="n">
        <v>0</v>
      </c>
      <c r="J1038" s="3" t="n">
        <v>4940000</v>
      </c>
    </row>
    <row r="1039">
      <c r="A1039" t="inlineStr">
        <is>
          <t>累計 Year 2028</t>
        </is>
      </c>
      <c r="B1039" t="inlineStr">
        <is>
          <t>C/9240A</t>
        </is>
      </c>
      <c r="C1039" t="inlineStr">
        <is>
          <t>南港國際一</t>
        </is>
      </c>
      <c r="D1039" t="inlineStr">
        <is>
          <t>內部</t>
        </is>
      </c>
      <c r="E1039" t="inlineStr">
        <is>
          <t>內案</t>
        </is>
      </c>
      <c r="F1039" s="3" t="n">
        <v>16341779</v>
      </c>
      <c r="G1039" s="3" t="n">
        <v>14399490</v>
      </c>
      <c r="H1039" s="3" t="n">
        <v>30741269</v>
      </c>
      <c r="I1039" s="3" t="n">
        <v>0</v>
      </c>
      <c r="J1039" s="3" t="n">
        <v>31186000</v>
      </c>
    </row>
    <row r="1040">
      <c r="A1040" t="inlineStr">
        <is>
          <t>累計 Year 2028</t>
        </is>
      </c>
      <c r="B1040" t="inlineStr">
        <is>
          <t>C/9240B</t>
        </is>
      </c>
      <c r="C1040" t="inlineStr">
        <is>
          <t xml:space="preserve">台中洲際BIM建築 </t>
        </is>
      </c>
      <c r="D1040" t="inlineStr">
        <is>
          <t>內部</t>
        </is>
      </c>
      <c r="E1040" t="inlineStr">
        <is>
          <t>內案</t>
        </is>
      </c>
      <c r="F1040" s="3" t="n">
        <v>1681852</v>
      </c>
      <c r="G1040" s="3" t="n">
        <v>518148</v>
      </c>
      <c r="H1040" s="3" t="n">
        <v>2200000</v>
      </c>
      <c r="I1040" s="3" t="n">
        <v>0</v>
      </c>
      <c r="J1040" s="3" t="n">
        <v>2200000</v>
      </c>
    </row>
    <row r="1041">
      <c r="A1041" t="inlineStr">
        <is>
          <t>累計 Year 2028</t>
        </is>
      </c>
      <c r="B1041" t="inlineStr">
        <is>
          <t>C/9240C</t>
        </is>
      </c>
      <c r="C1041" t="inlineStr">
        <is>
          <t xml:space="preserve">大直金泰BIM建築 </t>
        </is>
      </c>
      <c r="D1041" t="inlineStr">
        <is>
          <t>內部</t>
        </is>
      </c>
      <c r="E1041" t="inlineStr">
        <is>
          <t>內案</t>
        </is>
      </c>
      <c r="F1041" s="3" t="n">
        <v>2266711</v>
      </c>
      <c r="G1041" s="3" t="n">
        <v>510071</v>
      </c>
      <c r="H1041" s="3" t="n">
        <v>2776782</v>
      </c>
      <c r="I1041" s="3" t="n">
        <v>0</v>
      </c>
      <c r="J1041" s="3" t="n">
        <v>3125000</v>
      </c>
    </row>
    <row r="1042">
      <c r="A1042" t="inlineStr">
        <is>
          <t>累計 Year 2028</t>
        </is>
      </c>
      <c r="B1042" t="inlineStr">
        <is>
          <t>C/9240D</t>
        </is>
      </c>
      <c r="C1042" t="inlineStr">
        <is>
          <t xml:space="preserve">板橋新雅BIM建築 </t>
        </is>
      </c>
      <c r="D1042" t="inlineStr">
        <is>
          <t>內部</t>
        </is>
      </c>
      <c r="E1042" t="inlineStr">
        <is>
          <t>內案</t>
        </is>
      </c>
      <c r="F1042" s="3" t="n">
        <v>899848</v>
      </c>
      <c r="G1042" s="3" t="n">
        <v>788507</v>
      </c>
      <c r="H1042" s="3" t="n">
        <v>1688355</v>
      </c>
      <c r="I1042" s="3" t="n">
        <v>0</v>
      </c>
      <c r="J1042" s="3" t="n">
        <v>2042000</v>
      </c>
    </row>
    <row r="1043">
      <c r="A1043" t="inlineStr">
        <is>
          <t>累計 Year 2028</t>
        </is>
      </c>
      <c r="B1043" t="inlineStr">
        <is>
          <t>C/9240E</t>
        </is>
      </c>
      <c r="C1043" t="inlineStr">
        <is>
          <t xml:space="preserve">板橋四維BIM建築 </t>
        </is>
      </c>
      <c r="D1043" t="inlineStr">
        <is>
          <t>內部</t>
        </is>
      </c>
      <c r="E1043" t="inlineStr">
        <is>
          <t>內案</t>
        </is>
      </c>
      <c r="F1043" s="3" t="n">
        <v>1089400</v>
      </c>
      <c r="G1043" s="3" t="n">
        <v>1112600</v>
      </c>
      <c r="H1043" s="3" t="n">
        <v>2202000</v>
      </c>
      <c r="I1043" s="3" t="n">
        <v>0</v>
      </c>
      <c r="J1043" s="3" t="n">
        <v>2202000</v>
      </c>
    </row>
    <row r="1044">
      <c r="A1044" t="inlineStr">
        <is>
          <t>累計 Year 2028</t>
        </is>
      </c>
      <c r="B1044" t="inlineStr">
        <is>
          <t>C/9240F</t>
        </is>
      </c>
      <c r="C1044" t="inlineStr">
        <is>
          <t>台中新美齊</t>
        </is>
      </c>
      <c r="D1044" t="inlineStr">
        <is>
          <t>內部</t>
        </is>
      </c>
      <c r="E1044" t="inlineStr">
        <is>
          <t>內案</t>
        </is>
      </c>
      <c r="F1044" s="3" t="n">
        <v>1753277</v>
      </c>
      <c r="G1044" s="3" t="n">
        <v>1537426</v>
      </c>
      <c r="H1044" s="3" t="n">
        <v>3290703</v>
      </c>
      <c r="I1044" s="3" t="n">
        <v>0</v>
      </c>
      <c r="J1044" s="3" t="n">
        <v>3365000</v>
      </c>
    </row>
    <row r="1045">
      <c r="A1045" t="inlineStr">
        <is>
          <t>累計 Year 2028</t>
        </is>
      </c>
      <c r="B1045" t="inlineStr">
        <is>
          <t>C/9240G</t>
        </is>
      </c>
      <c r="C1045" t="inlineStr">
        <is>
          <t>晨禎片片山閑</t>
        </is>
      </c>
      <c r="D1045" t="inlineStr">
        <is>
          <t>外部</t>
        </is>
      </c>
      <c r="E1045" t="inlineStr">
        <is>
          <t>外案</t>
        </is>
      </c>
      <c r="F1045" s="3" t="n">
        <v>1250140</v>
      </c>
      <c r="G1045" s="3" t="n">
        <v>1797480</v>
      </c>
      <c r="H1045" s="3" t="n">
        <v>3047620</v>
      </c>
      <c r="I1045" s="3" t="n">
        <v>0</v>
      </c>
      <c r="J1045" s="3" t="n">
        <v>3047620</v>
      </c>
    </row>
    <row r="1046">
      <c r="A1046" t="inlineStr">
        <is>
          <t>累計 Year 2028</t>
        </is>
      </c>
      <c r="B1046" t="inlineStr">
        <is>
          <t>C/9250A</t>
        </is>
      </c>
      <c r="C1046" t="inlineStr">
        <is>
          <t>南機二區BIM服務</t>
        </is>
      </c>
      <c r="D1046" t="inlineStr">
        <is>
          <t>內部</t>
        </is>
      </c>
      <c r="E1046" t="inlineStr">
        <is>
          <t>內案</t>
        </is>
      </c>
      <c r="F1046" s="3" t="n">
        <v>22410053</v>
      </c>
      <c r="G1046" s="3" t="n">
        <v>5565526</v>
      </c>
      <c r="H1046" s="3" t="n">
        <v>27975579</v>
      </c>
      <c r="I1046" s="3" t="n">
        <v>0</v>
      </c>
      <c r="J1046" s="3" t="n">
        <v>28337000</v>
      </c>
    </row>
    <row r="1047">
      <c r="A1047" t="inlineStr">
        <is>
          <t>累計 Year 2028</t>
        </is>
      </c>
      <c r="B1047" t="inlineStr">
        <is>
          <t>C/9250B</t>
        </is>
      </c>
      <c r="C1047" t="inlineStr">
        <is>
          <t>璞真南港總部</t>
        </is>
      </c>
      <c r="D1047" t="inlineStr">
        <is>
          <t>內部</t>
        </is>
      </c>
      <c r="E1047" t="inlineStr">
        <is>
          <t>內案</t>
        </is>
      </c>
      <c r="F1047" s="3" t="n">
        <v>1165035</v>
      </c>
      <c r="G1047" s="3" t="n">
        <v>580792</v>
      </c>
      <c r="H1047" s="3" t="n">
        <v>1745827</v>
      </c>
      <c r="I1047" s="3" t="n">
        <v>0</v>
      </c>
      <c r="J1047" s="3" t="n">
        <v>1910000</v>
      </c>
    </row>
    <row r="1048">
      <c r="A1048" t="inlineStr">
        <is>
          <t>累計 Year 2028</t>
        </is>
      </c>
      <c r="B1048" t="inlineStr">
        <is>
          <t>C/9250C</t>
        </is>
      </c>
      <c r="C1048" t="inlineStr">
        <is>
          <t>築源南港</t>
        </is>
      </c>
      <c r="D1048" t="inlineStr">
        <is>
          <t>內部</t>
        </is>
      </c>
      <c r="E1048" t="inlineStr">
        <is>
          <t>內案</t>
        </is>
      </c>
      <c r="F1048" s="3" t="n">
        <v>2645757</v>
      </c>
      <c r="G1048" s="3" t="n">
        <v>1236743</v>
      </c>
      <c r="H1048" s="3" t="n">
        <v>3882500</v>
      </c>
      <c r="I1048" s="3" t="n">
        <v>0</v>
      </c>
      <c r="J1048" s="3" t="n">
        <v>3969500</v>
      </c>
    </row>
    <row r="1049">
      <c r="A1049" t="inlineStr">
        <is>
          <t>累計 Year 2028</t>
        </is>
      </c>
      <c r="B1049" t="inlineStr">
        <is>
          <t>C/9250D</t>
        </is>
      </c>
      <c r="C1049" t="inlineStr">
        <is>
          <t>南港三重</t>
        </is>
      </c>
      <c r="D1049" t="inlineStr">
        <is>
          <t>內部</t>
        </is>
      </c>
      <c r="E1049" t="inlineStr">
        <is>
          <t>內案</t>
        </is>
      </c>
      <c r="F1049" s="3" t="n">
        <v>1809660</v>
      </c>
      <c r="G1049" s="3" t="n">
        <v>824824</v>
      </c>
      <c r="H1049" s="3" t="n">
        <v>2634484</v>
      </c>
      <c r="I1049" s="3" t="n">
        <v>0</v>
      </c>
      <c r="J1049" s="3" t="n">
        <v>2655000</v>
      </c>
    </row>
    <row r="1050">
      <c r="A1050" t="inlineStr">
        <is>
          <t>累計 Year 2028</t>
        </is>
      </c>
      <c r="B1050" t="inlineStr">
        <is>
          <t>C/9260A</t>
        </is>
      </c>
      <c r="C1050" t="inlineStr">
        <is>
          <t>台中楓溪</t>
        </is>
      </c>
      <c r="D1050" t="inlineStr">
        <is>
          <t>內部</t>
        </is>
      </c>
      <c r="E1050" t="inlineStr">
        <is>
          <t>內案</t>
        </is>
      </c>
      <c r="F1050" s="3" t="n">
        <v>1295167</v>
      </c>
      <c r="G1050" s="3" t="n">
        <v>590037</v>
      </c>
      <c r="H1050" s="3" t="n">
        <v>1885204</v>
      </c>
      <c r="I1050" s="3" t="n">
        <v>0</v>
      </c>
      <c r="J1050" s="3" t="n">
        <v>2588000</v>
      </c>
    </row>
    <row r="1051">
      <c r="A1051" t="inlineStr">
        <is>
          <t>累計 Year 2028</t>
        </is>
      </c>
      <c r="B1051" t="inlineStr">
        <is>
          <t>C/9260B</t>
        </is>
      </c>
      <c r="C1051" t="inlineStr">
        <is>
          <t>樺輝永鑄</t>
        </is>
      </c>
      <c r="D1051" t="inlineStr">
        <is>
          <t>內部</t>
        </is>
      </c>
      <c r="E1051" t="inlineStr">
        <is>
          <t>內案</t>
        </is>
      </c>
      <c r="F1051" s="3" t="n">
        <v>2538248</v>
      </c>
      <c r="G1051" s="3" t="n">
        <v>494861</v>
      </c>
      <c r="H1051" s="3" t="n">
        <v>3033109</v>
      </c>
      <c r="I1051" s="3" t="n">
        <v>0</v>
      </c>
      <c r="J1051" s="3" t="n">
        <v>4070040</v>
      </c>
    </row>
    <row r="1052">
      <c r="A1052" t="inlineStr">
        <is>
          <t>累計 Year 2028</t>
        </is>
      </c>
      <c r="B1052" t="inlineStr">
        <is>
          <t>C/9260C</t>
        </is>
      </c>
      <c r="C1052" t="inlineStr">
        <is>
          <t>中華郵政信維</t>
        </is>
      </c>
      <c r="D1052" t="inlineStr">
        <is>
          <t>內部</t>
        </is>
      </c>
      <c r="E1052" t="inlineStr">
        <is>
          <t>內案</t>
        </is>
      </c>
      <c r="F1052" s="3" t="n">
        <v>3632929</v>
      </c>
      <c r="G1052" s="3" t="n">
        <v>1569370</v>
      </c>
      <c r="H1052" s="3" t="n">
        <v>5202299</v>
      </c>
      <c r="I1052" s="3" t="n">
        <v>0</v>
      </c>
      <c r="J1052" s="3" t="n">
        <v>7697500</v>
      </c>
    </row>
    <row r="1053">
      <c r="A1053" t="inlineStr">
        <is>
          <t>累計 Year 2028</t>
        </is>
      </c>
      <c r="B1053" t="inlineStr">
        <is>
          <t>C/9260D</t>
        </is>
      </c>
      <c r="C1053" t="inlineStr">
        <is>
          <t>大安復興</t>
        </is>
      </c>
      <c r="D1053" t="inlineStr">
        <is>
          <t>內部</t>
        </is>
      </c>
      <c r="E1053" t="inlineStr">
        <is>
          <t>內案</t>
        </is>
      </c>
      <c r="F1053" s="3" t="n">
        <v>788888</v>
      </c>
      <c r="G1053" s="3" t="n">
        <v>313429</v>
      </c>
      <c r="H1053" s="3" t="n">
        <v>1102317</v>
      </c>
      <c r="I1053" s="3" t="n">
        <v>0</v>
      </c>
      <c r="J1053" s="3" t="n">
        <v>1960000</v>
      </c>
    </row>
    <row r="1054">
      <c r="A1054" t="inlineStr">
        <is>
          <t>累計 Year 2028</t>
        </is>
      </c>
      <c r="B1054" t="inlineStr">
        <is>
          <t>C/9100B_26</t>
        </is>
      </c>
      <c r="C1054" t="inlineStr">
        <is>
          <t>新取得BIM建築-26年</t>
        </is>
      </c>
      <c r="D1054" t="inlineStr">
        <is>
          <t>內部</t>
        </is>
      </c>
      <c r="E1054" t="inlineStr">
        <is>
          <t>內案</t>
        </is>
      </c>
      <c r="F1054" s="3" t="n">
        <v>0</v>
      </c>
      <c r="G1054" s="3" t="n">
        <v>0</v>
      </c>
      <c r="H1054" s="3" t="n">
        <v>0</v>
      </c>
      <c r="I1054" s="3" t="n">
        <v>0</v>
      </c>
      <c r="J1054" s="3" t="n">
        <v>0</v>
      </c>
    </row>
    <row r="1055">
      <c r="A1055" t="inlineStr">
        <is>
          <t>累計 Year 2028</t>
        </is>
      </c>
      <c r="B1055" t="inlineStr">
        <is>
          <t>C/9100A_27</t>
        </is>
      </c>
      <c r="C1055" t="inlineStr">
        <is>
          <t>新取得BIM建築-26年</t>
        </is>
      </c>
      <c r="D1055" t="inlineStr">
        <is>
          <t>內部</t>
        </is>
      </c>
      <c r="E1055" t="inlineStr">
        <is>
          <t>內案</t>
        </is>
      </c>
      <c r="F1055" s="3" t="n">
        <v>0</v>
      </c>
      <c r="G1055" s="3" t="n">
        <v>0</v>
      </c>
      <c r="H1055" s="3" t="n">
        <v>0</v>
      </c>
      <c r="I1055" s="3" t="n">
        <v>0</v>
      </c>
      <c r="J1055" s="3" t="n">
        <v>0</v>
      </c>
    </row>
    <row r="1056">
      <c r="A1056" t="inlineStr">
        <is>
          <t>累計 Year 2028</t>
        </is>
      </c>
      <c r="B1056" t="inlineStr">
        <is>
          <t>C/9100B_27</t>
        </is>
      </c>
      <c r="C1056" t="inlineStr">
        <is>
          <t>新取得BIM建築-27年</t>
        </is>
      </c>
      <c r="D1056" t="inlineStr">
        <is>
          <t>內部</t>
        </is>
      </c>
      <c r="E1056" t="inlineStr">
        <is>
          <t>內案</t>
        </is>
      </c>
      <c r="F1056" s="3" t="n">
        <v>17227917</v>
      </c>
      <c r="G1056" s="3" t="n">
        <v>6520987</v>
      </c>
      <c r="H1056" s="3" t="n">
        <v>23748904</v>
      </c>
      <c r="I1056" s="3" t="n">
        <v>0</v>
      </c>
      <c r="J1056" s="3" t="n">
        <v>24628500</v>
      </c>
    </row>
    <row r="1057">
      <c r="A1057" t="inlineStr">
        <is>
          <t>累計 Year 2028</t>
        </is>
      </c>
      <c r="B1057" t="inlineStr">
        <is>
          <t>C/9100C_27</t>
        </is>
      </c>
      <c r="C1057" t="inlineStr">
        <is>
          <t>新取得BIM建築-28年</t>
        </is>
      </c>
      <c r="D1057" t="inlineStr">
        <is>
          <t>內部</t>
        </is>
      </c>
      <c r="E1057" t="inlineStr">
        <is>
          <t>內案</t>
        </is>
      </c>
      <c r="F1057" s="3" t="n">
        <v>8413388</v>
      </c>
      <c r="G1057" s="3" t="n">
        <v>3172482</v>
      </c>
      <c r="H1057" s="3" t="n">
        <v>11585870</v>
      </c>
      <c r="I1057" s="3" t="n">
        <v>0</v>
      </c>
      <c r="J1057" s="3" t="n">
        <v>12137000</v>
      </c>
    </row>
    <row r="1058">
      <c r="A1058" t="inlineStr">
        <is>
          <t>累計 Year 2028</t>
        </is>
      </c>
      <c r="B1058" t="inlineStr">
        <is>
          <t>C/9100D_27</t>
        </is>
      </c>
      <c r="C1058" t="inlineStr">
        <is>
          <t>新取得BIM建築-29年</t>
        </is>
      </c>
      <c r="D1058" t="inlineStr">
        <is>
          <t>內部</t>
        </is>
      </c>
      <c r="E1058" t="inlineStr">
        <is>
          <t>內案</t>
        </is>
      </c>
      <c r="F1058" s="3" t="n">
        <v>0</v>
      </c>
      <c r="G1058" s="3" t="n">
        <v>0</v>
      </c>
      <c r="H1058" s="3" t="n">
        <v>0</v>
      </c>
      <c r="I1058" s="3" t="n">
        <v>0</v>
      </c>
      <c r="J1058" s="3" t="n">
        <v>0</v>
      </c>
    </row>
    <row r="1059">
      <c r="A1059" t="inlineStr">
        <is>
          <t>累計 Year 2028</t>
        </is>
      </c>
      <c r="B1059" t="inlineStr">
        <is>
          <t>C/9100E_27</t>
        </is>
      </c>
      <c r="C1059" t="inlineStr">
        <is>
          <t>新取得BIM建築-30年</t>
        </is>
      </c>
      <c r="D1059" t="inlineStr">
        <is>
          <t>內部</t>
        </is>
      </c>
      <c r="E1059" t="inlineStr">
        <is>
          <t>內案</t>
        </is>
      </c>
      <c r="F1059" s="3" t="n">
        <v>0</v>
      </c>
      <c r="G1059" s="3" t="n">
        <v>0</v>
      </c>
      <c r="H1059" s="3" t="n">
        <v>0</v>
      </c>
      <c r="I1059" s="3" t="n">
        <v>0</v>
      </c>
      <c r="J1059" s="3" t="n">
        <v>0</v>
      </c>
    </row>
    <row r="1060">
      <c r="A1060" t="inlineStr">
        <is>
          <t>累計 Year 2028</t>
        </is>
      </c>
      <c r="B1060" t="inlineStr">
        <is>
          <t>C/9100F_27</t>
        </is>
      </c>
      <c r="C1060" t="inlineStr">
        <is>
          <t>新取得BIM建築-31年</t>
        </is>
      </c>
      <c r="D1060" t="inlineStr">
        <is>
          <t>內部</t>
        </is>
      </c>
      <c r="E1060" t="inlineStr">
        <is>
          <t>內案</t>
        </is>
      </c>
      <c r="F1060" s="3" t="n">
        <v>0</v>
      </c>
      <c r="G1060" s="3" t="n">
        <v>0</v>
      </c>
      <c r="H1060" s="3" t="n">
        <v>0</v>
      </c>
      <c r="I1060" s="3" t="n">
        <v>0</v>
      </c>
      <c r="J1060" s="3" t="n">
        <v>0</v>
      </c>
    </row>
    <row r="1061">
      <c r="A1061" t="inlineStr">
        <is>
          <t>累計 Year 2028</t>
        </is>
      </c>
      <c r="B1061" t="inlineStr">
        <is>
          <t>C/99992</t>
        </is>
      </c>
      <c r="C1061" t="inlineStr">
        <is>
          <t>雜項BIM土木機電</t>
        </is>
      </c>
      <c r="D1061" t="inlineStr">
        <is>
          <t>內/無</t>
        </is>
      </c>
      <c r="E1061" t="inlineStr">
        <is>
          <t>雜項</t>
        </is>
      </c>
      <c r="F1061" s="3" t="n">
        <v>1941632</v>
      </c>
      <c r="G1061" s="3" t="n">
        <v>249868</v>
      </c>
      <c r="H1061" s="3" t="n">
        <v>2191500</v>
      </c>
      <c r="I1061" s="3" t="n">
        <v>0</v>
      </c>
      <c r="J1061" s="3" t="n">
        <v>3208200</v>
      </c>
    </row>
    <row r="1062">
      <c r="A1062" t="inlineStr">
        <is>
          <t>累計 Year 2028</t>
        </is>
      </c>
      <c r="B1062" t="inlineStr">
        <is>
          <t>C/99992-1</t>
        </is>
      </c>
      <c r="C1062" t="inlineStr">
        <is>
          <t>雜項BIM土木機電(外案收入)</t>
        </is>
      </c>
      <c r="D1062" t="inlineStr">
        <is>
          <t>外部</t>
        </is>
      </c>
      <c r="E1062" t="inlineStr">
        <is>
          <t>外案</t>
        </is>
      </c>
      <c r="F1062" s="3" t="n">
        <v>39200</v>
      </c>
      <c r="G1062" s="3" t="n">
        <v>13300</v>
      </c>
      <c r="H1062" s="3" t="n">
        <v>52500</v>
      </c>
      <c r="I1062" s="3" t="n">
        <v>0</v>
      </c>
      <c r="J1062" s="3" t="n">
        <v>267500</v>
      </c>
    </row>
    <row r="1063">
      <c r="A1063" t="inlineStr">
        <is>
          <t>累計 Year 2028</t>
        </is>
      </c>
      <c r="B1063" t="inlineStr">
        <is>
          <t>C/99993</t>
        </is>
      </c>
      <c r="C1063" t="inlineStr">
        <is>
          <t>備標BIM土木機電</t>
        </is>
      </c>
      <c r="D1063" t="inlineStr">
        <is>
          <t>備標</t>
        </is>
      </c>
      <c r="E1063" t="inlineStr">
        <is>
          <t>備標</t>
        </is>
      </c>
      <c r="F1063" s="3" t="n">
        <v>1494310</v>
      </c>
      <c r="G1063" s="3" t="n">
        <v>1325690</v>
      </c>
      <c r="H1063" s="3" t="n">
        <v>2820000</v>
      </c>
      <c r="I1063" s="3" t="n">
        <v>0</v>
      </c>
      <c r="J1063" s="3" t="n">
        <v>6810100</v>
      </c>
    </row>
    <row r="1064">
      <c r="A1064" t="inlineStr">
        <is>
          <t>累計 Year 2028</t>
        </is>
      </c>
      <c r="B1064" t="inlineStr">
        <is>
          <t>C/9999B</t>
        </is>
      </c>
      <c r="C1064" t="inlineStr">
        <is>
          <t>雜項BIM建築</t>
        </is>
      </c>
      <c r="D1064" t="inlineStr">
        <is>
          <t>內/無</t>
        </is>
      </c>
      <c r="E1064" t="inlineStr">
        <is>
          <t>雜項</t>
        </is>
      </c>
      <c r="F1064" s="3" t="n">
        <v>1359204</v>
      </c>
      <c r="G1064" s="3" t="n">
        <v>385796</v>
      </c>
      <c r="H1064" s="3" t="n">
        <v>1745000</v>
      </c>
      <c r="I1064" s="3" t="n">
        <v>0</v>
      </c>
      <c r="J1064" s="3" t="n">
        <v>3375000</v>
      </c>
    </row>
    <row r="1065">
      <c r="A1065" t="inlineStr">
        <is>
          <t>累計 Year 2028</t>
        </is>
      </c>
      <c r="B1065" t="inlineStr">
        <is>
          <t>C/9999D</t>
        </is>
      </c>
      <c r="C1065" t="inlineStr">
        <is>
          <t>備標BIM建築</t>
        </is>
      </c>
      <c r="D1065" t="inlineStr">
        <is>
          <t>備標</t>
        </is>
      </c>
      <c r="E1065" t="inlineStr">
        <is>
          <t>備標</t>
        </is>
      </c>
      <c r="F1065" s="3" t="n">
        <v>1684733</v>
      </c>
      <c r="G1065" s="3" t="n">
        <v>-389733</v>
      </c>
      <c r="H1065" s="3" t="n">
        <v>1295000</v>
      </c>
      <c r="I1065" s="3" t="n">
        <v>0</v>
      </c>
      <c r="J1065" s="3" t="n">
        <v>2015000</v>
      </c>
    </row>
    <row r="1066">
      <c r="A1066" t="inlineStr">
        <is>
          <t>Year 2029</t>
        </is>
      </c>
      <c r="B1066" t="inlineStr">
        <is>
          <t>C/92103</t>
        </is>
      </c>
      <c r="C1066" t="inlineStr">
        <is>
          <t>CQ840 BIM</t>
        </is>
      </c>
      <c r="D1066" t="inlineStr">
        <is>
          <t>內部</t>
        </is>
      </c>
      <c r="E1066" t="inlineStr">
        <is>
          <t>內案</t>
        </is>
      </c>
      <c r="F1066" s="3" t="n">
        <v>0</v>
      </c>
      <c r="G1066" s="3" t="n">
        <v>0</v>
      </c>
      <c r="H1066" s="3" t="n">
        <v>0</v>
      </c>
      <c r="I1066" s="3" t="n">
        <v>0</v>
      </c>
      <c r="J1066" s="3" t="n">
        <v>0</v>
      </c>
    </row>
    <row r="1067">
      <c r="A1067" t="inlineStr">
        <is>
          <t>Year 2029</t>
        </is>
      </c>
      <c r="B1067" t="inlineStr">
        <is>
          <t>C/92202</t>
        </is>
      </c>
      <c r="C1067" t="inlineStr">
        <is>
          <t>CF680C BIM</t>
        </is>
      </c>
      <c r="D1067" t="inlineStr">
        <is>
          <t>內部</t>
        </is>
      </c>
      <c r="E1067" t="inlineStr">
        <is>
          <t>內案</t>
        </is>
      </c>
      <c r="F1067" s="3" t="n">
        <v>4920669</v>
      </c>
      <c r="G1067" s="3" t="n">
        <v>2366246</v>
      </c>
      <c r="H1067" s="3" t="n">
        <v>7286915</v>
      </c>
      <c r="I1067" s="3" t="n">
        <v>0</v>
      </c>
      <c r="J1067" s="3" t="n">
        <v>6272000</v>
      </c>
    </row>
    <row r="1068">
      <c r="A1068" t="inlineStr">
        <is>
          <t>Year 2029</t>
        </is>
      </c>
      <c r="B1068" t="inlineStr">
        <is>
          <t>C/92203</t>
        </is>
      </c>
      <c r="C1068" t="inlineStr">
        <is>
          <t>N－WH BIM</t>
        </is>
      </c>
      <c r="D1068" t="inlineStr">
        <is>
          <t>內部</t>
        </is>
      </c>
      <c r="E1068" t="inlineStr">
        <is>
          <t>內案</t>
        </is>
      </c>
      <c r="F1068" s="3" t="n">
        <v>0</v>
      </c>
      <c r="G1068" s="3" t="n">
        <v>0</v>
      </c>
      <c r="H1068" s="3" t="n">
        <v>0</v>
      </c>
      <c r="I1068" s="3" t="n">
        <v>0</v>
      </c>
      <c r="J1068" s="3" t="n">
        <v>0</v>
      </c>
    </row>
    <row r="1069">
      <c r="A1069" t="inlineStr">
        <is>
          <t>Year 2029</t>
        </is>
      </c>
      <c r="B1069" t="inlineStr">
        <is>
          <t>C/92204</t>
        </is>
      </c>
      <c r="C1069" t="inlineStr">
        <is>
          <t>國揚吉林機電</t>
        </is>
      </c>
      <c r="D1069" t="inlineStr">
        <is>
          <t>內部</t>
        </is>
      </c>
      <c r="E1069" t="inlineStr">
        <is>
          <t>內案</t>
        </is>
      </c>
      <c r="F1069" s="3" t="n">
        <v>0</v>
      </c>
      <c r="G1069" s="3" t="n">
        <v>0</v>
      </c>
      <c r="H1069" s="3" t="n">
        <v>0</v>
      </c>
      <c r="I1069" s="3" t="n">
        <v>0</v>
      </c>
      <c r="J1069" s="3" t="n">
        <v>0</v>
      </c>
    </row>
    <row r="1070">
      <c r="A1070" t="inlineStr">
        <is>
          <t>Year 2029</t>
        </is>
      </c>
      <c r="B1070" t="inlineStr">
        <is>
          <t>C/92301</t>
        </is>
      </c>
      <c r="C1070" t="inlineStr">
        <is>
          <t>CF670A BIM 土木機電</t>
        </is>
      </c>
      <c r="D1070" t="inlineStr">
        <is>
          <t>內部</t>
        </is>
      </c>
      <c r="E1070" t="inlineStr">
        <is>
          <t>內案</t>
        </is>
      </c>
      <c r="F1070" s="3" t="n">
        <v>537103</v>
      </c>
      <c r="G1070" s="3" t="n">
        <v>61688</v>
      </c>
      <c r="H1070" s="3" t="n">
        <v>598791</v>
      </c>
      <c r="I1070" s="3" t="n">
        <v>0</v>
      </c>
      <c r="J1070" s="3" t="n">
        <v>794000</v>
      </c>
    </row>
    <row r="1071">
      <c r="A1071" t="inlineStr">
        <is>
          <t>Year 2029</t>
        </is>
      </c>
      <c r="B1071" t="inlineStr">
        <is>
          <t>C/92302</t>
        </is>
      </c>
      <c r="C1071" t="inlineStr">
        <is>
          <t>富邦忠孝懷生BIM機電</t>
        </is>
      </c>
      <c r="D1071" t="inlineStr">
        <is>
          <t>內部</t>
        </is>
      </c>
      <c r="E1071" t="inlineStr">
        <is>
          <t>內案</t>
        </is>
      </c>
      <c r="F1071" s="3" t="n">
        <v>0</v>
      </c>
      <c r="G1071" s="3" t="n">
        <v>0</v>
      </c>
      <c r="H1071" s="3" t="n">
        <v>0</v>
      </c>
      <c r="I1071" s="3" t="n">
        <v>0</v>
      </c>
      <c r="J1071" s="3" t="n">
        <v>0</v>
      </c>
    </row>
    <row r="1072">
      <c r="A1072" t="inlineStr">
        <is>
          <t>Year 2029</t>
        </is>
      </c>
      <c r="B1072" t="inlineStr">
        <is>
          <t>C/92303</t>
        </is>
      </c>
      <c r="C1072" t="inlineStr">
        <is>
          <t>信義兒福BIM機電</t>
        </is>
      </c>
      <c r="D1072" t="inlineStr">
        <is>
          <t>外部</t>
        </is>
      </c>
      <c r="E1072" t="inlineStr">
        <is>
          <t>外案</t>
        </is>
      </c>
      <c r="F1072" s="3" t="n">
        <v>700452</v>
      </c>
      <c r="G1072" s="3" t="n">
        <v>169346</v>
      </c>
      <c r="H1072" s="3" t="n">
        <v>869798</v>
      </c>
      <c r="I1072" s="3" t="n">
        <v>0</v>
      </c>
      <c r="J1072" s="3" t="n">
        <v>447000</v>
      </c>
    </row>
    <row r="1073">
      <c r="A1073" t="inlineStr">
        <is>
          <t>Year 2029</t>
        </is>
      </c>
      <c r="B1073" t="inlineStr">
        <is>
          <t>C/92304</t>
        </is>
      </c>
      <c r="C1073" t="inlineStr">
        <is>
          <t>捷運劍潭站TOD統包BIM機電</t>
        </is>
      </c>
      <c r="D1073" t="inlineStr">
        <is>
          <t>內部</t>
        </is>
      </c>
      <c r="E1073" t="inlineStr">
        <is>
          <t>內案</t>
        </is>
      </c>
      <c r="F1073" s="3" t="n">
        <v>0</v>
      </c>
      <c r="G1073" s="3" t="n">
        <v>0</v>
      </c>
      <c r="H1073" s="3" t="n">
        <v>0</v>
      </c>
      <c r="I1073" s="3" t="n">
        <v>0</v>
      </c>
      <c r="J1073" s="3" t="n">
        <v>0</v>
      </c>
    </row>
    <row r="1074">
      <c r="A1074" t="inlineStr">
        <is>
          <t>Year 2029</t>
        </is>
      </c>
      <c r="B1074" t="inlineStr">
        <is>
          <t>C/92401</t>
        </is>
      </c>
      <c r="C1074" t="inlineStr">
        <is>
          <t>CJ17 土木機電</t>
        </is>
      </c>
      <c r="D1074" t="inlineStr">
        <is>
          <t>內部</t>
        </is>
      </c>
      <c r="E1074" t="inlineStr">
        <is>
          <t>內案</t>
        </is>
      </c>
      <c r="F1074" s="3" t="n">
        <v>964390</v>
      </c>
      <c r="G1074" s="3" t="n">
        <v>466899</v>
      </c>
      <c r="H1074" s="3" t="n">
        <v>1431289</v>
      </c>
      <c r="I1074" s="3" t="n">
        <v>0</v>
      </c>
      <c r="J1074" s="3" t="n">
        <v>1850000</v>
      </c>
    </row>
    <row r="1075">
      <c r="A1075" t="inlineStr">
        <is>
          <t>Year 2029</t>
        </is>
      </c>
      <c r="B1075" t="inlineStr">
        <is>
          <t>C/92501</t>
        </is>
      </c>
      <c r="C1075" t="inlineStr">
        <is>
          <t>CF670 BIM土木機電</t>
        </is>
      </c>
      <c r="D1075" t="inlineStr">
        <is>
          <t>內部</t>
        </is>
      </c>
      <c r="E1075" t="inlineStr">
        <is>
          <t>內案</t>
        </is>
      </c>
      <c r="F1075" s="3" t="n">
        <v>4691725</v>
      </c>
      <c r="G1075" s="3" t="n">
        <v>2240487</v>
      </c>
      <c r="H1075" s="3" t="n">
        <v>6932212</v>
      </c>
      <c r="I1075" s="3" t="n">
        <v>0</v>
      </c>
      <c r="J1075" s="3" t="n">
        <v>4276250</v>
      </c>
    </row>
    <row r="1076">
      <c r="A1076" t="inlineStr">
        <is>
          <t>Year 2029</t>
        </is>
      </c>
      <c r="B1076" t="inlineStr">
        <is>
          <t>C/92502</t>
        </is>
      </c>
      <c r="C1076" t="inlineStr">
        <is>
          <t>擎邦-聯發科機電</t>
        </is>
      </c>
      <c r="D1076" t="inlineStr">
        <is>
          <t>外部</t>
        </is>
      </c>
      <c r="E1076" t="inlineStr">
        <is>
          <t>外案</t>
        </is>
      </c>
      <c r="F1076" s="3" t="n">
        <v>0</v>
      </c>
      <c r="G1076" s="3" t="n">
        <v>0</v>
      </c>
      <c r="H1076" s="3" t="n">
        <v>0</v>
      </c>
      <c r="I1076" s="3" t="n">
        <v>0</v>
      </c>
      <c r="J1076" s="3" t="n">
        <v>0</v>
      </c>
    </row>
    <row r="1077">
      <c r="A1077" t="inlineStr">
        <is>
          <t>Year 2029</t>
        </is>
      </c>
      <c r="B1077" t="inlineStr">
        <is>
          <t>C/92503</t>
        </is>
      </c>
      <c r="C1077" t="inlineStr">
        <is>
          <t>CF690B BIM土木</t>
        </is>
      </c>
      <c r="D1077" t="inlineStr">
        <is>
          <t>外部</t>
        </is>
      </c>
      <c r="E1077" t="inlineStr">
        <is>
          <t>外案</t>
        </is>
      </c>
      <c r="F1077" s="3" t="n">
        <v>1220293</v>
      </c>
      <c r="G1077" s="3" t="n">
        <v>508826</v>
      </c>
      <c r="H1077" s="3" t="n">
        <v>1729119</v>
      </c>
      <c r="I1077" s="3" t="n">
        <v>0</v>
      </c>
      <c r="J1077" s="3" t="n">
        <v>1098100</v>
      </c>
    </row>
    <row r="1078">
      <c r="A1078" t="inlineStr">
        <is>
          <t>Year 2029</t>
        </is>
      </c>
      <c r="B1078" t="inlineStr">
        <is>
          <t>C/92504</t>
        </is>
      </c>
      <c r="C1078" t="inlineStr">
        <is>
          <t>擎邦-員榮總醫院BIM</t>
        </is>
      </c>
      <c r="D1078" t="inlineStr">
        <is>
          <t>外部</t>
        </is>
      </c>
      <c r="E1078" t="inlineStr">
        <is>
          <t>外案</t>
        </is>
      </c>
      <c r="F1078" s="3" t="n">
        <v>0</v>
      </c>
      <c r="G1078" s="3" t="n">
        <v>0</v>
      </c>
      <c r="H1078" s="3" t="n">
        <v>0</v>
      </c>
      <c r="I1078" s="3" t="n">
        <v>0</v>
      </c>
      <c r="J1078" s="3" t="n">
        <v>0</v>
      </c>
    </row>
    <row r="1079">
      <c r="A1079" t="inlineStr">
        <is>
          <t>Year 2029</t>
        </is>
      </c>
      <c r="B1079" t="inlineStr">
        <is>
          <t>C/92601</t>
        </is>
      </c>
      <c r="C1079" t="inlineStr">
        <is>
          <t>擎邦-聯發科銅鑼</t>
        </is>
      </c>
      <c r="D1079" t="inlineStr">
        <is>
          <t>外部</t>
        </is>
      </c>
      <c r="E1079" t="inlineStr">
        <is>
          <t>外案</t>
        </is>
      </c>
      <c r="F1079" s="3" t="n">
        <v>0</v>
      </c>
      <c r="G1079" s="3" t="n">
        <v>0</v>
      </c>
      <c r="H1079" s="3" t="n">
        <v>0</v>
      </c>
      <c r="I1079" s="3" t="n">
        <v>0</v>
      </c>
      <c r="J1079" s="3" t="n">
        <v>0</v>
      </c>
    </row>
    <row r="1080">
      <c r="A1080" t="inlineStr">
        <is>
          <t>Year 2029</t>
        </is>
      </c>
      <c r="B1080" t="inlineStr">
        <is>
          <t>C/92602</t>
        </is>
      </c>
      <c r="C1080" t="inlineStr">
        <is>
          <t>擎邦-CF624F機電(CF690B機電)</t>
        </is>
      </c>
      <c r="D1080" t="inlineStr">
        <is>
          <t>外部</t>
        </is>
      </c>
      <c r="E1080" t="inlineStr">
        <is>
          <t>外案</t>
        </is>
      </c>
      <c r="F1080" s="3" t="n">
        <v>818298</v>
      </c>
      <c r="G1080" s="3" t="n">
        <v>381828</v>
      </c>
      <c r="H1080" s="3" t="n">
        <v>1200126</v>
      </c>
      <c r="I1080" s="3" t="n">
        <v>0</v>
      </c>
      <c r="J1080" s="3" t="n">
        <v>1406000</v>
      </c>
    </row>
    <row r="1081">
      <c r="A1081" t="inlineStr">
        <is>
          <t>Year 2029</t>
        </is>
      </c>
      <c r="B1081" t="inlineStr">
        <is>
          <t>C/92603</t>
        </is>
      </c>
      <c r="C1081" t="inlineStr">
        <is>
          <t>中華郵政信維機電</t>
        </is>
      </c>
      <c r="D1081" t="inlineStr">
        <is>
          <t>內部</t>
        </is>
      </c>
      <c r="E1081" t="inlineStr">
        <is>
          <t>內案</t>
        </is>
      </c>
      <c r="F1081" s="3" t="n">
        <v>1606596</v>
      </c>
      <c r="G1081" s="3" t="n">
        <v>788778</v>
      </c>
      <c r="H1081" s="3" t="n">
        <v>2395374</v>
      </c>
      <c r="I1081" s="3" t="n">
        <v>0</v>
      </c>
      <c r="J1081" s="3" t="n">
        <v>2220000</v>
      </c>
    </row>
    <row r="1082">
      <c r="A1082" t="inlineStr">
        <is>
          <t>Year 2029</t>
        </is>
      </c>
      <c r="B1082" t="inlineStr">
        <is>
          <t>C/91001_26</t>
        </is>
      </c>
      <c r="C1082" t="inlineStr">
        <is>
          <t>新取得BIM土木機電-26年</t>
        </is>
      </c>
      <c r="D1082" t="inlineStr">
        <is>
          <t>內部</t>
        </is>
      </c>
      <c r="E1082" t="inlineStr">
        <is>
          <t>內案</t>
        </is>
      </c>
      <c r="F1082" s="3" t="n">
        <v>0</v>
      </c>
      <c r="G1082" s="3" t="n">
        <v>0</v>
      </c>
      <c r="H1082" s="3" t="n">
        <v>0</v>
      </c>
      <c r="I1082" s="3" t="n">
        <v>0</v>
      </c>
      <c r="J1082" s="3" t="n">
        <v>0</v>
      </c>
    </row>
    <row r="1083">
      <c r="A1083" t="inlineStr">
        <is>
          <t>Year 2029</t>
        </is>
      </c>
      <c r="B1083" t="inlineStr">
        <is>
          <t>C/91000_27</t>
        </is>
      </c>
      <c r="C1083" t="inlineStr">
        <is>
          <t>新取得BIM土木機電-26年</t>
        </is>
      </c>
      <c r="D1083" t="inlineStr">
        <is>
          <t>內部</t>
        </is>
      </c>
      <c r="E1083" t="inlineStr">
        <is>
          <t>內案</t>
        </is>
      </c>
      <c r="F1083" s="3" t="n">
        <v>0</v>
      </c>
      <c r="G1083" s="3" t="n">
        <v>0</v>
      </c>
      <c r="H1083" s="3" t="n">
        <v>0</v>
      </c>
      <c r="I1083" s="3" t="n">
        <v>0</v>
      </c>
      <c r="J1083" s="3" t="n">
        <v>0</v>
      </c>
    </row>
    <row r="1084">
      <c r="A1084" t="inlineStr">
        <is>
          <t>Year 2029</t>
        </is>
      </c>
      <c r="B1084" t="inlineStr">
        <is>
          <t>C/91001_27</t>
        </is>
      </c>
      <c r="C1084" t="inlineStr">
        <is>
          <t>新取得BIM土木機電-27年</t>
        </is>
      </c>
      <c r="D1084" t="inlineStr">
        <is>
          <t>內部</t>
        </is>
      </c>
      <c r="E1084" t="inlineStr">
        <is>
          <t>內案</t>
        </is>
      </c>
      <c r="F1084" s="3" t="n">
        <v>6569150</v>
      </c>
      <c r="G1084" s="3" t="n">
        <v>3289239</v>
      </c>
      <c r="H1084" s="3" t="n">
        <v>9858389</v>
      </c>
      <c r="I1084" s="3" t="n">
        <v>0</v>
      </c>
      <c r="J1084" s="3" t="n">
        <v>7400000</v>
      </c>
    </row>
    <row r="1085">
      <c r="A1085" t="inlineStr">
        <is>
          <t>Year 2029</t>
        </is>
      </c>
      <c r="B1085" t="inlineStr">
        <is>
          <t>C/91002_27</t>
        </is>
      </c>
      <c r="C1085" t="inlineStr">
        <is>
          <t>新取得BIM土木機電-28年</t>
        </is>
      </c>
      <c r="D1085" t="inlineStr">
        <is>
          <t>內部</t>
        </is>
      </c>
      <c r="E1085" t="inlineStr">
        <is>
          <t>內案</t>
        </is>
      </c>
      <c r="F1085" s="3" t="n">
        <v>3424575</v>
      </c>
      <c r="G1085" s="3" t="n">
        <v>1677966</v>
      </c>
      <c r="H1085" s="3" t="n">
        <v>5102541</v>
      </c>
      <c r="I1085" s="3" t="n">
        <v>0</v>
      </c>
      <c r="J1085" s="3" t="n">
        <v>3700000</v>
      </c>
    </row>
    <row r="1086">
      <c r="A1086" t="inlineStr">
        <is>
          <t>Year 2029</t>
        </is>
      </c>
      <c r="B1086" t="inlineStr">
        <is>
          <t>C/91003_27</t>
        </is>
      </c>
      <c r="C1086" t="inlineStr">
        <is>
          <t>新取得BIM土木機電-29年</t>
        </is>
      </c>
      <c r="D1086" t="inlineStr">
        <is>
          <t>內部</t>
        </is>
      </c>
      <c r="E1086" t="inlineStr">
        <is>
          <t>內案</t>
        </is>
      </c>
      <c r="F1086" s="3" t="n">
        <v>2667660</v>
      </c>
      <c r="G1086" s="3" t="n">
        <v>1290142</v>
      </c>
      <c r="H1086" s="3" t="n">
        <v>3957802</v>
      </c>
      <c r="I1086" s="3" t="n">
        <v>0</v>
      </c>
      <c r="J1086" s="3" t="n">
        <v>7400000</v>
      </c>
    </row>
    <row r="1087">
      <c r="A1087" t="inlineStr">
        <is>
          <t>Year 2029</t>
        </is>
      </c>
      <c r="B1087" t="inlineStr">
        <is>
          <t>C/91004_27</t>
        </is>
      </c>
      <c r="C1087" t="inlineStr">
        <is>
          <t>新取得BIM土木機電-30年</t>
        </is>
      </c>
      <c r="D1087" t="inlineStr">
        <is>
          <t>內部</t>
        </is>
      </c>
      <c r="E1087" t="inlineStr">
        <is>
          <t>內案</t>
        </is>
      </c>
      <c r="F1087" s="3" t="n">
        <v>0</v>
      </c>
      <c r="G1087" s="3" t="n">
        <v>0</v>
      </c>
      <c r="H1087" s="3" t="n">
        <v>0</v>
      </c>
      <c r="I1087" s="3" t="n">
        <v>0</v>
      </c>
      <c r="J1087" s="3" t="n">
        <v>0</v>
      </c>
    </row>
    <row r="1088">
      <c r="A1088" t="inlineStr">
        <is>
          <t>Year 2029</t>
        </is>
      </c>
      <c r="B1088" t="inlineStr">
        <is>
          <t>C/91005_27</t>
        </is>
      </c>
      <c r="C1088" t="inlineStr">
        <is>
          <t>新取得BIM土木機電-31年</t>
        </is>
      </c>
      <c r="D1088" t="inlineStr">
        <is>
          <t>內部</t>
        </is>
      </c>
      <c r="E1088" t="inlineStr">
        <is>
          <t>內案</t>
        </is>
      </c>
      <c r="F1088" s="3" t="n">
        <v>0</v>
      </c>
      <c r="G1088" s="3" t="n">
        <v>0</v>
      </c>
      <c r="H1088" s="3" t="n">
        <v>0</v>
      </c>
      <c r="I1088" s="3" t="n">
        <v>0</v>
      </c>
      <c r="J1088" s="3" t="n">
        <v>0</v>
      </c>
    </row>
    <row r="1089">
      <c r="A1089" t="inlineStr">
        <is>
          <t>Year 2029</t>
        </is>
      </c>
      <c r="B1089" t="inlineStr">
        <is>
          <t>C/9210F</t>
        </is>
      </c>
      <c r="C1089" t="inlineStr">
        <is>
          <t>南港機廠BIM建築</t>
        </is>
      </c>
      <c r="D1089" t="inlineStr">
        <is>
          <t>外部</t>
        </is>
      </c>
      <c r="E1089" t="inlineStr">
        <is>
          <t>外案</t>
        </is>
      </c>
      <c r="F1089" s="3" t="n">
        <v>0</v>
      </c>
      <c r="G1089" s="3" t="n">
        <v>0</v>
      </c>
      <c r="H1089" s="3" t="n">
        <v>0</v>
      </c>
      <c r="I1089" s="3" t="n">
        <v>0</v>
      </c>
      <c r="J1089" s="3" t="n">
        <v>0</v>
      </c>
    </row>
    <row r="1090">
      <c r="A1090" t="inlineStr">
        <is>
          <t>Year 2029</t>
        </is>
      </c>
      <c r="B1090" t="inlineStr">
        <is>
          <t>C/9210G</t>
        </is>
      </c>
      <c r="C1090" t="inlineStr">
        <is>
          <t>富邦忠孝懷生BIM建築</t>
        </is>
      </c>
      <c r="D1090" t="inlineStr">
        <is>
          <t>內部</t>
        </is>
      </c>
      <c r="E1090" t="inlineStr">
        <is>
          <t>內案</t>
        </is>
      </c>
      <c r="F1090" s="3" t="n">
        <v>0</v>
      </c>
      <c r="G1090" s="3" t="n">
        <v>0</v>
      </c>
      <c r="H1090" s="3" t="n">
        <v>0</v>
      </c>
      <c r="I1090" s="3" t="n">
        <v>0</v>
      </c>
      <c r="J1090" s="3" t="n">
        <v>0</v>
      </c>
    </row>
    <row r="1091">
      <c r="A1091" t="inlineStr">
        <is>
          <t>Year 2029</t>
        </is>
      </c>
      <c r="B1091" t="inlineStr">
        <is>
          <t>C/9220E</t>
        </is>
      </c>
      <c r="C1091" t="inlineStr">
        <is>
          <t>柏鴻北士科 C/9100A-22A</t>
        </is>
      </c>
      <c r="D1091" t="inlineStr">
        <is>
          <t>內部</t>
        </is>
      </c>
      <c r="E1091" t="inlineStr">
        <is>
          <t>內案</t>
        </is>
      </c>
      <c r="F1091" s="3" t="n">
        <v>0</v>
      </c>
      <c r="G1091" s="3" t="n">
        <v>0</v>
      </c>
      <c r="H1091" s="3" t="n">
        <v>0</v>
      </c>
      <c r="I1091" s="3" t="n">
        <v>0</v>
      </c>
      <c r="J1091" s="3" t="n">
        <v>0</v>
      </c>
    </row>
    <row r="1092">
      <c r="A1092" t="inlineStr">
        <is>
          <t>Year 2029</t>
        </is>
      </c>
      <c r="B1092" t="inlineStr">
        <is>
          <t>C/9230A</t>
        </is>
      </c>
      <c r="C1092" t="inlineStr">
        <is>
          <t>信義兒福BIM建築</t>
        </is>
      </c>
      <c r="D1092" t="inlineStr">
        <is>
          <t>外部</t>
        </is>
      </c>
      <c r="E1092" t="inlineStr">
        <is>
          <t>外案</t>
        </is>
      </c>
      <c r="F1092" s="3" t="n">
        <v>690987</v>
      </c>
      <c r="G1092" s="3" t="n">
        <v>274384</v>
      </c>
      <c r="H1092" s="3" t="n">
        <v>965371</v>
      </c>
      <c r="I1092" s="3" t="n">
        <v>0</v>
      </c>
      <c r="J1092" s="3" t="n">
        <v>1141000</v>
      </c>
    </row>
    <row r="1093">
      <c r="A1093" t="inlineStr">
        <is>
          <t>Year 2029</t>
        </is>
      </c>
      <c r="B1093" t="inlineStr">
        <is>
          <t>C/9230B</t>
        </is>
      </c>
      <c r="C1093" t="inlineStr">
        <is>
          <t>北捷劍潭TOD</t>
        </is>
      </c>
      <c r="D1093" t="inlineStr">
        <is>
          <t>內部</t>
        </is>
      </c>
      <c r="E1093" t="inlineStr">
        <is>
          <t>內案</t>
        </is>
      </c>
      <c r="F1093" s="3" t="n">
        <v>0</v>
      </c>
      <c r="G1093" s="3" t="n">
        <v>0</v>
      </c>
      <c r="H1093" s="3" t="n">
        <v>0</v>
      </c>
      <c r="I1093" s="3" t="n">
        <v>0</v>
      </c>
      <c r="J1093" s="3" t="n">
        <v>0</v>
      </c>
    </row>
    <row r="1094">
      <c r="A1094" t="inlineStr">
        <is>
          <t>Year 2029</t>
        </is>
      </c>
      <c r="B1094" t="inlineStr">
        <is>
          <t>C/9230C</t>
        </is>
      </c>
      <c r="C1094" t="inlineStr">
        <is>
          <t>慶城福華-23年</t>
        </is>
      </c>
      <c r="D1094" t="inlineStr">
        <is>
          <t>內部</t>
        </is>
      </c>
      <c r="E1094" t="inlineStr">
        <is>
          <t>內案</t>
        </is>
      </c>
      <c r="F1094" s="3" t="n">
        <v>0</v>
      </c>
      <c r="G1094" s="3" t="n">
        <v>0</v>
      </c>
      <c r="H1094" s="3" t="n">
        <v>0</v>
      </c>
      <c r="I1094" s="3" t="n">
        <v>0</v>
      </c>
      <c r="J1094" s="3" t="n">
        <v>0</v>
      </c>
    </row>
    <row r="1095">
      <c r="A1095" t="inlineStr">
        <is>
          <t>Year 2029</t>
        </is>
      </c>
      <c r="B1095" t="inlineStr">
        <is>
          <t>C/9240A</t>
        </is>
      </c>
      <c r="C1095" t="inlineStr">
        <is>
          <t>南港國際一</t>
        </is>
      </c>
      <c r="D1095" t="inlineStr">
        <is>
          <t>內部</t>
        </is>
      </c>
      <c r="E1095" t="inlineStr">
        <is>
          <t>內案</t>
        </is>
      </c>
      <c r="F1095" s="3" t="n">
        <v>0</v>
      </c>
      <c r="G1095" s="3" t="n">
        <v>0</v>
      </c>
      <c r="H1095" s="3" t="n">
        <v>0</v>
      </c>
      <c r="I1095" s="3" t="n">
        <v>0</v>
      </c>
      <c r="J1095" s="3" t="n">
        <v>0</v>
      </c>
    </row>
    <row r="1096">
      <c r="A1096" t="inlineStr">
        <is>
          <t>Year 2029</t>
        </is>
      </c>
      <c r="B1096" t="inlineStr">
        <is>
          <t>C/9240B</t>
        </is>
      </c>
      <c r="C1096" t="inlineStr">
        <is>
          <t xml:space="preserve">台中洲際BIM建築 </t>
        </is>
      </c>
      <c r="D1096" t="inlineStr">
        <is>
          <t>內部</t>
        </is>
      </c>
      <c r="E1096" t="inlineStr">
        <is>
          <t>內案</t>
        </is>
      </c>
      <c r="F1096" s="3" t="n">
        <v>0</v>
      </c>
      <c r="G1096" s="3" t="n">
        <v>0</v>
      </c>
      <c r="H1096" s="3" t="n">
        <v>0</v>
      </c>
      <c r="I1096" s="3" t="n">
        <v>0</v>
      </c>
      <c r="J1096" s="3" t="n">
        <v>0</v>
      </c>
    </row>
    <row r="1097">
      <c r="A1097" t="inlineStr">
        <is>
          <t>Year 2029</t>
        </is>
      </c>
      <c r="B1097" t="inlineStr">
        <is>
          <t>C/9240C</t>
        </is>
      </c>
      <c r="C1097" t="inlineStr">
        <is>
          <t xml:space="preserve">大直金泰BIM建築 </t>
        </is>
      </c>
      <c r="D1097" t="inlineStr">
        <is>
          <t>內部</t>
        </is>
      </c>
      <c r="E1097" t="inlineStr">
        <is>
          <t>內案</t>
        </is>
      </c>
      <c r="F1097" s="3" t="n">
        <v>0</v>
      </c>
      <c r="G1097" s="3" t="n">
        <v>0</v>
      </c>
      <c r="H1097" s="3" t="n">
        <v>0</v>
      </c>
      <c r="I1097" s="3" t="n">
        <v>0</v>
      </c>
      <c r="J1097" s="3" t="n">
        <v>0</v>
      </c>
    </row>
    <row r="1098">
      <c r="A1098" t="inlineStr">
        <is>
          <t>Year 2029</t>
        </is>
      </c>
      <c r="B1098" t="inlineStr">
        <is>
          <t>C/9240D</t>
        </is>
      </c>
      <c r="C1098" t="inlineStr">
        <is>
          <t xml:space="preserve">板橋新雅BIM建築 </t>
        </is>
      </c>
      <c r="D1098" t="inlineStr">
        <is>
          <t>內部</t>
        </is>
      </c>
      <c r="E1098" t="inlineStr">
        <is>
          <t>內案</t>
        </is>
      </c>
      <c r="F1098" s="3" t="n">
        <v>0</v>
      </c>
      <c r="G1098" s="3" t="n">
        <v>0</v>
      </c>
      <c r="H1098" s="3" t="n">
        <v>0</v>
      </c>
      <c r="I1098" s="3" t="n">
        <v>0</v>
      </c>
      <c r="J1098" s="3" t="n">
        <v>0</v>
      </c>
    </row>
    <row r="1099">
      <c r="A1099" t="inlineStr">
        <is>
          <t>Year 2029</t>
        </is>
      </c>
      <c r="B1099" t="inlineStr">
        <is>
          <t>C/9240E</t>
        </is>
      </c>
      <c r="C1099" t="inlineStr">
        <is>
          <t xml:space="preserve">板橋四維BIM建築 </t>
        </is>
      </c>
      <c r="D1099" t="inlineStr">
        <is>
          <t>內部</t>
        </is>
      </c>
      <c r="E1099" t="inlineStr">
        <is>
          <t>內案</t>
        </is>
      </c>
      <c r="F1099" s="3" t="n">
        <v>0</v>
      </c>
      <c r="G1099" s="3" t="n">
        <v>0</v>
      </c>
      <c r="H1099" s="3" t="n">
        <v>0</v>
      </c>
      <c r="I1099" s="3" t="n">
        <v>0</v>
      </c>
      <c r="J1099" s="3" t="n">
        <v>0</v>
      </c>
    </row>
    <row r="1100">
      <c r="A1100" t="inlineStr">
        <is>
          <t>Year 2029</t>
        </is>
      </c>
      <c r="B1100" t="inlineStr">
        <is>
          <t>C/9240F</t>
        </is>
      </c>
      <c r="C1100" t="inlineStr">
        <is>
          <t>台中新美齊</t>
        </is>
      </c>
      <c r="D1100" t="inlineStr">
        <is>
          <t>內部</t>
        </is>
      </c>
      <c r="E1100" t="inlineStr">
        <is>
          <t>內案</t>
        </is>
      </c>
      <c r="F1100" s="3" t="n">
        <v>0</v>
      </c>
      <c r="G1100" s="3" t="n">
        <v>0</v>
      </c>
      <c r="H1100" s="3" t="n">
        <v>0</v>
      </c>
      <c r="I1100" s="3" t="n">
        <v>0</v>
      </c>
      <c r="J1100" s="3" t="n">
        <v>0</v>
      </c>
    </row>
    <row r="1101">
      <c r="A1101" t="inlineStr">
        <is>
          <t>Year 2029</t>
        </is>
      </c>
      <c r="B1101" t="inlineStr">
        <is>
          <t>C/9240G</t>
        </is>
      </c>
      <c r="C1101" t="inlineStr">
        <is>
          <t>晨禎片片山閑</t>
        </is>
      </c>
      <c r="D1101" t="inlineStr">
        <is>
          <t>外部</t>
        </is>
      </c>
      <c r="E1101" t="inlineStr">
        <is>
          <t>外案</t>
        </is>
      </c>
      <c r="F1101" s="3" t="n">
        <v>0</v>
      </c>
      <c r="G1101" s="3" t="n">
        <v>0</v>
      </c>
      <c r="H1101" s="3" t="n">
        <v>0</v>
      </c>
      <c r="I1101" s="3" t="n">
        <v>0</v>
      </c>
      <c r="J1101" s="3" t="n">
        <v>0</v>
      </c>
    </row>
    <row r="1102">
      <c r="A1102" t="inlineStr">
        <is>
          <t>Year 2029</t>
        </is>
      </c>
      <c r="B1102" t="inlineStr">
        <is>
          <t>C/9250A</t>
        </is>
      </c>
      <c r="C1102" t="inlineStr">
        <is>
          <t>南機二區BIM服務</t>
        </is>
      </c>
      <c r="D1102" t="inlineStr">
        <is>
          <t>內部</t>
        </is>
      </c>
      <c r="E1102" t="inlineStr">
        <is>
          <t>內案</t>
        </is>
      </c>
      <c r="F1102" s="3" t="n">
        <v>5228358</v>
      </c>
      <c r="G1102" s="3" t="n">
        <v>1298461</v>
      </c>
      <c r="H1102" s="3" t="n">
        <v>6526819</v>
      </c>
      <c r="I1102" s="3" t="n">
        <v>0</v>
      </c>
      <c r="J1102" s="3" t="n">
        <v>6730000</v>
      </c>
    </row>
    <row r="1103">
      <c r="A1103" t="inlineStr">
        <is>
          <t>Year 2029</t>
        </is>
      </c>
      <c r="B1103" t="inlineStr">
        <is>
          <t>C/9250B</t>
        </is>
      </c>
      <c r="C1103" t="inlineStr">
        <is>
          <t>璞真南港總部</t>
        </is>
      </c>
      <c r="D1103" t="inlineStr">
        <is>
          <t>內部</t>
        </is>
      </c>
      <c r="E1103" t="inlineStr">
        <is>
          <t>內案</t>
        </is>
      </c>
      <c r="F1103" s="3" t="n">
        <v>0</v>
      </c>
      <c r="G1103" s="3" t="n">
        <v>0</v>
      </c>
      <c r="H1103" s="3" t="n">
        <v>0</v>
      </c>
      <c r="I1103" s="3" t="n">
        <v>0</v>
      </c>
      <c r="J1103" s="3" t="n">
        <v>0</v>
      </c>
    </row>
    <row r="1104">
      <c r="A1104" t="inlineStr">
        <is>
          <t>Year 2029</t>
        </is>
      </c>
      <c r="B1104" t="inlineStr">
        <is>
          <t>C/9250C</t>
        </is>
      </c>
      <c r="C1104" t="inlineStr">
        <is>
          <t>築源南港</t>
        </is>
      </c>
      <c r="D1104" t="inlineStr">
        <is>
          <t>內部</t>
        </is>
      </c>
      <c r="E1104" t="inlineStr">
        <is>
          <t>內案</t>
        </is>
      </c>
      <c r="F1104" s="3" t="n">
        <v>0</v>
      </c>
      <c r="G1104" s="3" t="n">
        <v>0</v>
      </c>
      <c r="H1104" s="3" t="n">
        <v>0</v>
      </c>
      <c r="I1104" s="3" t="n">
        <v>0</v>
      </c>
      <c r="J1104" s="3" t="n">
        <v>0</v>
      </c>
    </row>
    <row r="1105">
      <c r="A1105" t="inlineStr">
        <is>
          <t>Year 2029</t>
        </is>
      </c>
      <c r="B1105" t="inlineStr">
        <is>
          <t>C/9250D</t>
        </is>
      </c>
      <c r="C1105" t="inlineStr">
        <is>
          <t>南港三重</t>
        </is>
      </c>
      <c r="D1105" t="inlineStr">
        <is>
          <t>內部</t>
        </is>
      </c>
      <c r="E1105" t="inlineStr">
        <is>
          <t>內案</t>
        </is>
      </c>
      <c r="F1105" s="3" t="n">
        <v>0</v>
      </c>
      <c r="G1105" s="3" t="n">
        <v>0</v>
      </c>
      <c r="H1105" s="3" t="n">
        <v>0</v>
      </c>
      <c r="I1105" s="3" t="n">
        <v>0</v>
      </c>
      <c r="J1105" s="3" t="n">
        <v>0</v>
      </c>
    </row>
    <row r="1106">
      <c r="A1106" t="inlineStr">
        <is>
          <t>Year 2029</t>
        </is>
      </c>
      <c r="B1106" t="inlineStr">
        <is>
          <t>C/9260A</t>
        </is>
      </c>
      <c r="C1106" t="inlineStr">
        <is>
          <t>台中楓溪</t>
        </is>
      </c>
      <c r="D1106" t="inlineStr">
        <is>
          <t>內部</t>
        </is>
      </c>
      <c r="E1106" t="inlineStr">
        <is>
          <t>內案</t>
        </is>
      </c>
      <c r="F1106" s="3" t="n">
        <v>0</v>
      </c>
      <c r="G1106" s="3" t="n">
        <v>0</v>
      </c>
      <c r="H1106" s="3" t="n">
        <v>0</v>
      </c>
      <c r="I1106" s="3" t="n">
        <v>0</v>
      </c>
      <c r="J1106" s="3" t="n">
        <v>0</v>
      </c>
    </row>
    <row r="1107">
      <c r="A1107" t="inlineStr">
        <is>
          <t>Year 2029</t>
        </is>
      </c>
      <c r="B1107" t="inlineStr">
        <is>
          <t>C/9260B</t>
        </is>
      </c>
      <c r="C1107" t="inlineStr">
        <is>
          <t>樺輝永鑄</t>
        </is>
      </c>
      <c r="D1107" t="inlineStr">
        <is>
          <t>內部</t>
        </is>
      </c>
      <c r="E1107" t="inlineStr">
        <is>
          <t>內案</t>
        </is>
      </c>
      <c r="F1107" s="3" t="n">
        <v>28822</v>
      </c>
      <c r="G1107" s="3" t="n">
        <v>5620</v>
      </c>
      <c r="H1107" s="3" t="n">
        <v>34442</v>
      </c>
      <c r="I1107" s="3" t="n">
        <v>0</v>
      </c>
      <c r="J1107" s="3" t="n">
        <v>0</v>
      </c>
    </row>
    <row r="1108">
      <c r="A1108" t="inlineStr">
        <is>
          <t>Year 2029</t>
        </is>
      </c>
      <c r="B1108" t="inlineStr">
        <is>
          <t>C/9260C</t>
        </is>
      </c>
      <c r="C1108" t="inlineStr">
        <is>
          <t>中華郵政信維</t>
        </is>
      </c>
      <c r="D1108" t="inlineStr">
        <is>
          <t>內部</t>
        </is>
      </c>
      <c r="E1108" t="inlineStr">
        <is>
          <t>內案</t>
        </is>
      </c>
      <c r="F1108" s="3" t="n">
        <v>1596953</v>
      </c>
      <c r="G1108" s="3" t="n">
        <v>689860</v>
      </c>
      <c r="H1108" s="3" t="n">
        <v>2286813</v>
      </c>
      <c r="I1108" s="3" t="n">
        <v>0</v>
      </c>
      <c r="J1108" s="3" t="n">
        <v>3295000</v>
      </c>
    </row>
    <row r="1109">
      <c r="A1109" t="inlineStr">
        <is>
          <t>Year 2029</t>
        </is>
      </c>
      <c r="B1109" t="inlineStr">
        <is>
          <t>C/9260D</t>
        </is>
      </c>
      <c r="C1109" t="inlineStr">
        <is>
          <t>大安復興</t>
        </is>
      </c>
      <c r="D1109" t="inlineStr">
        <is>
          <t>內部</t>
        </is>
      </c>
      <c r="E1109" t="inlineStr">
        <is>
          <t>內案</t>
        </is>
      </c>
      <c r="F1109" s="3" t="n">
        <v>0</v>
      </c>
      <c r="G1109" s="3" t="n">
        <v>0</v>
      </c>
      <c r="H1109" s="3" t="n">
        <v>0</v>
      </c>
      <c r="I1109" s="3" t="n">
        <v>0</v>
      </c>
      <c r="J1109" s="3" t="n">
        <v>0</v>
      </c>
    </row>
    <row r="1110">
      <c r="A1110" t="inlineStr">
        <is>
          <t>Year 2029</t>
        </is>
      </c>
      <c r="B1110" t="inlineStr">
        <is>
          <t>C/9100B_26</t>
        </is>
      </c>
      <c r="C1110" t="inlineStr">
        <is>
          <t>新取得BIM建築-26年</t>
        </is>
      </c>
      <c r="D1110" t="inlineStr">
        <is>
          <t>內部</t>
        </is>
      </c>
      <c r="E1110" t="inlineStr">
        <is>
          <t>內案</t>
        </is>
      </c>
      <c r="F1110" s="3" t="n">
        <v>0</v>
      </c>
      <c r="G1110" s="3" t="n">
        <v>0</v>
      </c>
      <c r="H1110" s="3" t="n">
        <v>0</v>
      </c>
      <c r="I1110" s="3" t="n">
        <v>0</v>
      </c>
      <c r="J1110" s="3" t="n">
        <v>0</v>
      </c>
    </row>
    <row r="1111">
      <c r="A1111" t="inlineStr">
        <is>
          <t>Year 2029</t>
        </is>
      </c>
      <c r="B1111" t="inlineStr">
        <is>
          <t>C/9100A_27</t>
        </is>
      </c>
      <c r="C1111" t="inlineStr">
        <is>
          <t>新取得BIM建築-26年</t>
        </is>
      </c>
      <c r="D1111" t="inlineStr">
        <is>
          <t>內部</t>
        </is>
      </c>
      <c r="E1111" t="inlineStr">
        <is>
          <t>內案</t>
        </is>
      </c>
      <c r="F1111" s="3" t="n">
        <v>0</v>
      </c>
      <c r="G1111" s="3" t="n">
        <v>0</v>
      </c>
      <c r="H1111" s="3" t="n">
        <v>0</v>
      </c>
      <c r="I1111" s="3" t="n">
        <v>0</v>
      </c>
      <c r="J1111" s="3" t="n">
        <v>0</v>
      </c>
    </row>
    <row r="1112">
      <c r="A1112" t="inlineStr">
        <is>
          <t>Year 2029</t>
        </is>
      </c>
      <c r="B1112" t="inlineStr">
        <is>
          <t>C/9100B_27</t>
        </is>
      </c>
      <c r="C1112" t="inlineStr">
        <is>
          <t>新取得BIM建築-27年</t>
        </is>
      </c>
      <c r="D1112" t="inlineStr">
        <is>
          <t>內部</t>
        </is>
      </c>
      <c r="E1112" t="inlineStr">
        <is>
          <t>內案</t>
        </is>
      </c>
      <c r="F1112" s="3" t="n">
        <v>9219793</v>
      </c>
      <c r="G1112" s="3" t="n">
        <v>3489809</v>
      </c>
      <c r="H1112" s="3" t="n">
        <v>12709602</v>
      </c>
      <c r="I1112" s="3" t="n">
        <v>0</v>
      </c>
      <c r="J1112" s="3" t="n">
        <v>12504000</v>
      </c>
    </row>
    <row r="1113">
      <c r="A1113" t="inlineStr">
        <is>
          <t>Year 2029</t>
        </is>
      </c>
      <c r="B1113" t="inlineStr">
        <is>
          <t>C/9100C_27</t>
        </is>
      </c>
      <c r="C1113" t="inlineStr">
        <is>
          <t>新取得BIM建築-28年</t>
        </is>
      </c>
      <c r="D1113" t="inlineStr">
        <is>
          <t>內部</t>
        </is>
      </c>
      <c r="E1113" t="inlineStr">
        <is>
          <t>內案</t>
        </is>
      </c>
      <c r="F1113" s="3" t="n">
        <v>5644786</v>
      </c>
      <c r="G1113" s="3" t="n">
        <v>2128511</v>
      </c>
      <c r="H1113" s="3" t="n">
        <v>7773297</v>
      </c>
      <c r="I1113" s="3" t="n">
        <v>0</v>
      </c>
      <c r="J1113" s="3" t="n">
        <v>7654000</v>
      </c>
    </row>
    <row r="1114">
      <c r="A1114" t="inlineStr">
        <is>
          <t>Year 2029</t>
        </is>
      </c>
      <c r="B1114" t="inlineStr">
        <is>
          <t>C/9100D_27</t>
        </is>
      </c>
      <c r="C1114" t="inlineStr">
        <is>
          <t>新取得BIM建築-29年</t>
        </is>
      </c>
      <c r="D1114" t="inlineStr">
        <is>
          <t>內部</t>
        </is>
      </c>
      <c r="E1114" t="inlineStr">
        <is>
          <t>內案</t>
        </is>
      </c>
      <c r="F1114" s="3" t="n">
        <v>5560576</v>
      </c>
      <c r="G1114" s="3" t="n">
        <v>2113410</v>
      </c>
      <c r="H1114" s="3" t="n">
        <v>7673986</v>
      </c>
      <c r="I1114" s="3" t="n">
        <v>0</v>
      </c>
      <c r="J1114" s="3" t="n">
        <v>7734000</v>
      </c>
    </row>
    <row r="1115">
      <c r="A1115" t="inlineStr">
        <is>
          <t>Year 2029</t>
        </is>
      </c>
      <c r="B1115" t="inlineStr">
        <is>
          <t>C/9100E_27</t>
        </is>
      </c>
      <c r="C1115" t="inlineStr">
        <is>
          <t>新取得BIM建築-30年</t>
        </is>
      </c>
      <c r="D1115" t="inlineStr">
        <is>
          <t>內部</t>
        </is>
      </c>
      <c r="E1115" t="inlineStr">
        <is>
          <t>內案</t>
        </is>
      </c>
      <c r="F1115" s="3" t="n">
        <v>0</v>
      </c>
      <c r="G1115" s="3" t="n">
        <v>0</v>
      </c>
      <c r="H1115" s="3" t="n">
        <v>0</v>
      </c>
      <c r="I1115" s="3" t="n">
        <v>0</v>
      </c>
      <c r="J1115" s="3" t="n">
        <v>0</v>
      </c>
    </row>
    <row r="1116">
      <c r="A1116" t="inlineStr">
        <is>
          <t>Year 2029</t>
        </is>
      </c>
      <c r="B1116" t="inlineStr">
        <is>
          <t>C/9100F_27</t>
        </is>
      </c>
      <c r="C1116" t="inlineStr">
        <is>
          <t>新取得BIM建築-31年</t>
        </is>
      </c>
      <c r="D1116" t="inlineStr">
        <is>
          <t>內部</t>
        </is>
      </c>
      <c r="E1116" t="inlineStr">
        <is>
          <t>內案</t>
        </is>
      </c>
      <c r="F1116" s="3" t="n">
        <v>0</v>
      </c>
      <c r="G1116" s="3" t="n">
        <v>0</v>
      </c>
      <c r="H1116" s="3" t="n">
        <v>0</v>
      </c>
      <c r="I1116" s="3" t="n">
        <v>0</v>
      </c>
      <c r="J1116" s="3" t="n">
        <v>0</v>
      </c>
    </row>
    <row r="1117">
      <c r="A1117" t="inlineStr">
        <is>
          <t>Year 2029</t>
        </is>
      </c>
      <c r="B1117" t="inlineStr">
        <is>
          <t>C/99992</t>
        </is>
      </c>
      <c r="C1117" t="inlineStr">
        <is>
          <t>雜項BIM土木機電</t>
        </is>
      </c>
      <c r="D1117" t="inlineStr">
        <is>
          <t>內/無</t>
        </is>
      </c>
      <c r="E1117" t="inlineStr">
        <is>
          <t>雜項</t>
        </is>
      </c>
      <c r="F1117" s="3" t="n">
        <v>848298</v>
      </c>
      <c r="G1117" s="3" t="n">
        <v>261702</v>
      </c>
      <c r="H1117" s="3" t="n">
        <v>1110000</v>
      </c>
      <c r="I1117" s="3" t="n">
        <v>0</v>
      </c>
      <c r="J1117" s="3" t="n">
        <v>1110000</v>
      </c>
    </row>
    <row r="1118">
      <c r="A1118" t="inlineStr">
        <is>
          <t>Year 2029</t>
        </is>
      </c>
      <c r="B1118" t="inlineStr">
        <is>
          <t>C/99992-1</t>
        </is>
      </c>
      <c r="C1118" t="inlineStr">
        <is>
          <t>雜項BIM土木機電(外案收入)</t>
        </is>
      </c>
      <c r="D1118" t="inlineStr">
        <is>
          <t>外部</t>
        </is>
      </c>
      <c r="E1118" t="inlineStr">
        <is>
          <t>外案</t>
        </is>
      </c>
      <c r="F1118" s="3" t="n">
        <v>0</v>
      </c>
      <c r="G1118" s="3" t="n">
        <v>0</v>
      </c>
      <c r="H1118" s="3" t="n">
        <v>0</v>
      </c>
      <c r="I1118" s="3" t="n">
        <v>0</v>
      </c>
      <c r="J1118" s="3" t="n">
        <v>0</v>
      </c>
    </row>
    <row r="1119">
      <c r="A1119" t="inlineStr">
        <is>
          <t>Year 2029</t>
        </is>
      </c>
      <c r="B1119" t="inlineStr">
        <is>
          <t>C/99993</t>
        </is>
      </c>
      <c r="C1119" t="inlineStr">
        <is>
          <t>備標BIM土木機電</t>
        </is>
      </c>
      <c r="D1119" t="inlineStr">
        <is>
          <t>備標</t>
        </is>
      </c>
      <c r="E1119" t="inlineStr">
        <is>
          <t>備標</t>
        </is>
      </c>
      <c r="F1119" s="3" t="n">
        <v>240431</v>
      </c>
      <c r="G1119" s="3" t="n">
        <v>581069</v>
      </c>
      <c r="H1119" s="3" t="n">
        <v>821500</v>
      </c>
      <c r="I1119" s="3" t="n">
        <v>0</v>
      </c>
      <c r="J1119" s="3" t="n">
        <v>821500</v>
      </c>
    </row>
    <row r="1120">
      <c r="A1120" t="inlineStr">
        <is>
          <t>Year 2029</t>
        </is>
      </c>
      <c r="B1120" t="inlineStr">
        <is>
          <t>C/9999B</t>
        </is>
      </c>
      <c r="C1120" t="inlineStr">
        <is>
          <t>雜項BIM建築</t>
        </is>
      </c>
      <c r="D1120" t="inlineStr">
        <is>
          <t>內/無</t>
        </is>
      </c>
      <c r="E1120" t="inlineStr">
        <is>
          <t>雜項</t>
        </is>
      </c>
      <c r="F1120" s="3" t="n">
        <v>0</v>
      </c>
      <c r="G1120" s="3" t="n">
        <v>0</v>
      </c>
      <c r="H1120" s="3" t="n">
        <v>0</v>
      </c>
      <c r="I1120" s="3" t="n">
        <v>0</v>
      </c>
      <c r="J1120" s="3" t="n">
        <v>0</v>
      </c>
    </row>
    <row r="1121">
      <c r="A1121" t="inlineStr">
        <is>
          <t>Year 2029</t>
        </is>
      </c>
      <c r="B1121" t="inlineStr">
        <is>
          <t>C/9999D</t>
        </is>
      </c>
      <c r="C1121" t="inlineStr">
        <is>
          <t>備標BIM建築</t>
        </is>
      </c>
      <c r="D1121" t="inlineStr">
        <is>
          <t>備標</t>
        </is>
      </c>
      <c r="E1121" t="inlineStr">
        <is>
          <t>備標</t>
        </is>
      </c>
      <c r="F1121" s="3" t="n">
        <v>0</v>
      </c>
      <c r="G1121" s="3" t="n">
        <v>0</v>
      </c>
      <c r="H1121" s="3" t="n">
        <v>0</v>
      </c>
      <c r="I1121" s="3" t="n">
        <v>0</v>
      </c>
      <c r="J1121" s="3" t="n">
        <v>0</v>
      </c>
    </row>
    <row r="1122">
      <c r="A1122" t="inlineStr">
        <is>
          <t>累計 Year 2029</t>
        </is>
      </c>
      <c r="B1122" t="inlineStr">
        <is>
          <t>C/92103</t>
        </is>
      </c>
      <c r="C1122" t="inlineStr">
        <is>
          <t>CQ840 BIM</t>
        </is>
      </c>
      <c r="D1122" t="inlineStr">
        <is>
          <t>內部</t>
        </is>
      </c>
      <c r="E1122" t="inlineStr">
        <is>
          <t>內案</t>
        </is>
      </c>
      <c r="F1122" s="3" t="n">
        <v>1966785</v>
      </c>
      <c r="G1122" s="3" t="n">
        <v>-334392</v>
      </c>
      <c r="H1122" s="3" t="n">
        <v>1632393</v>
      </c>
      <c r="I1122" s="3" t="n">
        <v>0</v>
      </c>
      <c r="J1122" s="3" t="n">
        <v>1632393</v>
      </c>
    </row>
    <row r="1123">
      <c r="A1123" t="inlineStr">
        <is>
          <t>累計 Year 2029</t>
        </is>
      </c>
      <c r="B1123" t="inlineStr">
        <is>
          <t>C/92202</t>
        </is>
      </c>
      <c r="C1123" t="inlineStr">
        <is>
          <t>CF680C BIM</t>
        </is>
      </c>
      <c r="D1123" t="inlineStr">
        <is>
          <t>內部</t>
        </is>
      </c>
      <c r="E1123" t="inlineStr">
        <is>
          <t>內案</t>
        </is>
      </c>
      <c r="F1123" s="3" t="n">
        <v>16733307</v>
      </c>
      <c r="G1123" s="3" t="n">
        <v>8046693</v>
      </c>
      <c r="H1123" s="3" t="n">
        <v>24780000</v>
      </c>
      <c r="I1123" s="3" t="n">
        <v>0</v>
      </c>
      <c r="J1123" s="3" t="n">
        <v>24780000</v>
      </c>
    </row>
    <row r="1124">
      <c r="A1124" t="inlineStr">
        <is>
          <t>累計 Year 2029</t>
        </is>
      </c>
      <c r="B1124" t="inlineStr">
        <is>
          <t>C/92203</t>
        </is>
      </c>
      <c r="C1124" t="inlineStr">
        <is>
          <t>N－WH BIM</t>
        </is>
      </c>
      <c r="D1124" t="inlineStr">
        <is>
          <t>內部</t>
        </is>
      </c>
      <c r="E1124" t="inlineStr">
        <is>
          <t>內案</t>
        </is>
      </c>
      <c r="F1124" s="3" t="n">
        <v>8457888</v>
      </c>
      <c r="G1124" s="3" t="n">
        <v>2922662</v>
      </c>
      <c r="H1124" s="3" t="n">
        <v>11380550</v>
      </c>
      <c r="I1124" s="3" t="n">
        <v>0</v>
      </c>
      <c r="J1124" s="3" t="n">
        <v>11380550</v>
      </c>
    </row>
    <row r="1125">
      <c r="A1125" t="inlineStr">
        <is>
          <t>累計 Year 2029</t>
        </is>
      </c>
      <c r="B1125" t="inlineStr">
        <is>
          <t>C/92204</t>
        </is>
      </c>
      <c r="C1125" t="inlineStr">
        <is>
          <t>國揚吉林機電</t>
        </is>
      </c>
      <c r="D1125" t="inlineStr">
        <is>
          <t>內部</t>
        </is>
      </c>
      <c r="E1125" t="inlineStr">
        <is>
          <t>內案</t>
        </is>
      </c>
      <c r="F1125" s="3" t="n">
        <v>1258917</v>
      </c>
      <c r="G1125" s="3" t="n">
        <v>691083</v>
      </c>
      <c r="H1125" s="3" t="n">
        <v>1950000</v>
      </c>
      <c r="I1125" s="3" t="n">
        <v>0</v>
      </c>
      <c r="J1125" s="3" t="n">
        <v>1950000</v>
      </c>
    </row>
    <row r="1126">
      <c r="A1126" t="inlineStr">
        <is>
          <t>累計 Year 2029</t>
        </is>
      </c>
      <c r="B1126" t="inlineStr">
        <is>
          <t>C/92301</t>
        </is>
      </c>
      <c r="C1126" t="inlineStr">
        <is>
          <t>CF670A BIM 土木機電</t>
        </is>
      </c>
      <c r="D1126" t="inlineStr">
        <is>
          <t>內部</t>
        </is>
      </c>
      <c r="E1126" t="inlineStr">
        <is>
          <t>內案</t>
        </is>
      </c>
      <c r="F1126" s="3" t="n">
        <v>10183892</v>
      </c>
      <c r="G1126" s="3" t="n">
        <v>1169663</v>
      </c>
      <c r="H1126" s="3" t="n">
        <v>11353555</v>
      </c>
      <c r="I1126" s="3" t="n">
        <v>0</v>
      </c>
      <c r="J1126" s="3" t="n">
        <v>13571000</v>
      </c>
    </row>
    <row r="1127">
      <c r="A1127" t="inlineStr">
        <is>
          <t>累計 Year 2029</t>
        </is>
      </c>
      <c r="B1127" t="inlineStr">
        <is>
          <t>C/92302</t>
        </is>
      </c>
      <c r="C1127" t="inlineStr">
        <is>
          <t>富邦忠孝懷生BIM機電</t>
        </is>
      </c>
      <c r="D1127" t="inlineStr">
        <is>
          <t>內部</t>
        </is>
      </c>
      <c r="E1127" t="inlineStr">
        <is>
          <t>內案</t>
        </is>
      </c>
      <c r="F1127" s="3" t="n">
        <v>4575503</v>
      </c>
      <c r="G1127" s="3" t="n">
        <v>-195503</v>
      </c>
      <c r="H1127" s="3" t="n">
        <v>4380000</v>
      </c>
      <c r="I1127" s="3" t="n">
        <v>0</v>
      </c>
      <c r="J1127" s="3" t="n">
        <v>4380000</v>
      </c>
    </row>
    <row r="1128">
      <c r="A1128" t="inlineStr">
        <is>
          <t>累計 Year 2029</t>
        </is>
      </c>
      <c r="B1128" t="inlineStr">
        <is>
          <t>C/92303</t>
        </is>
      </c>
      <c r="C1128" t="inlineStr">
        <is>
          <t>信義兒福BIM機電</t>
        </is>
      </c>
      <c r="D1128" t="inlineStr">
        <is>
          <t>外部</t>
        </is>
      </c>
      <c r="E1128" t="inlineStr">
        <is>
          <t>外案</t>
        </is>
      </c>
      <c r="F1128" s="3" t="n">
        <v>2838696</v>
      </c>
      <c r="G1128" s="3" t="n">
        <v>686304</v>
      </c>
      <c r="H1128" s="3" t="n">
        <v>3525000</v>
      </c>
      <c r="I1128" s="3" t="n">
        <v>0</v>
      </c>
      <c r="J1128" s="3" t="n">
        <v>3525000</v>
      </c>
    </row>
    <row r="1129">
      <c r="A1129" t="inlineStr">
        <is>
          <t>累計 Year 2029</t>
        </is>
      </c>
      <c r="B1129" t="inlineStr">
        <is>
          <t>C/92304</t>
        </is>
      </c>
      <c r="C1129" t="inlineStr">
        <is>
          <t>捷運劍潭站TOD統包BIM機電</t>
        </is>
      </c>
      <c r="D1129" t="inlineStr">
        <is>
          <t>內部</t>
        </is>
      </c>
      <c r="E1129" t="inlineStr">
        <is>
          <t>內案</t>
        </is>
      </c>
      <c r="F1129" s="3" t="n">
        <v>7041372</v>
      </c>
      <c r="G1129" s="3" t="n">
        <v>758628</v>
      </c>
      <c r="H1129" s="3" t="n">
        <v>7800000</v>
      </c>
      <c r="I1129" s="3" t="n">
        <v>0</v>
      </c>
      <c r="J1129" s="3" t="n">
        <v>7800000</v>
      </c>
    </row>
    <row r="1130">
      <c r="A1130" t="inlineStr">
        <is>
          <t>累計 Year 2029</t>
        </is>
      </c>
      <c r="B1130" t="inlineStr">
        <is>
          <t>C/92401</t>
        </is>
      </c>
      <c r="C1130" t="inlineStr">
        <is>
          <t>CJ17 土木機電</t>
        </is>
      </c>
      <c r="D1130" t="inlineStr">
        <is>
          <t>內部</t>
        </is>
      </c>
      <c r="E1130" t="inlineStr">
        <is>
          <t>內案</t>
        </is>
      </c>
      <c r="F1130" s="3" t="n">
        <v>9394206</v>
      </c>
      <c r="G1130" s="3" t="n">
        <v>4548099</v>
      </c>
      <c r="H1130" s="3" t="n">
        <v>13942305</v>
      </c>
      <c r="I1130" s="3" t="n">
        <v>0</v>
      </c>
      <c r="J1130" s="3" t="n">
        <v>19443000</v>
      </c>
    </row>
    <row r="1131">
      <c r="A1131" t="inlineStr">
        <is>
          <t>累計 Year 2029</t>
        </is>
      </c>
      <c r="B1131" t="inlineStr">
        <is>
          <t>C/92501</t>
        </is>
      </c>
      <c r="C1131" t="inlineStr">
        <is>
          <t>CF670 BIM土木機電</t>
        </is>
      </c>
      <c r="D1131" t="inlineStr">
        <is>
          <t>內部</t>
        </is>
      </c>
      <c r="E1131" t="inlineStr">
        <is>
          <t>內案</t>
        </is>
      </c>
      <c r="F1131" s="3" t="n">
        <v>15544622</v>
      </c>
      <c r="G1131" s="3" t="n">
        <v>7423180</v>
      </c>
      <c r="H1131" s="3" t="n">
        <v>22967802</v>
      </c>
      <c r="I1131" s="3" t="n">
        <v>0</v>
      </c>
      <c r="J1131" s="3" t="n">
        <v>20754000</v>
      </c>
    </row>
    <row r="1132">
      <c r="A1132" t="inlineStr">
        <is>
          <t>累計 Year 2029</t>
        </is>
      </c>
      <c r="B1132" t="inlineStr">
        <is>
          <t>C/92502</t>
        </is>
      </c>
      <c r="C1132" t="inlineStr">
        <is>
          <t>擎邦-聯發科機電</t>
        </is>
      </c>
      <c r="D1132" t="inlineStr">
        <is>
          <t>外部</t>
        </is>
      </c>
      <c r="E1132" t="inlineStr">
        <is>
          <t>外案</t>
        </is>
      </c>
      <c r="F1132" s="3" t="n">
        <v>2812703</v>
      </c>
      <c r="G1132" s="3" t="n">
        <v>2187297</v>
      </c>
      <c r="H1132" s="3" t="n">
        <v>5000000</v>
      </c>
      <c r="I1132" s="3" t="n">
        <v>0</v>
      </c>
      <c r="J1132" s="3" t="n">
        <v>5000000</v>
      </c>
    </row>
    <row r="1133">
      <c r="A1133" t="inlineStr">
        <is>
          <t>累計 Year 2029</t>
        </is>
      </c>
      <c r="B1133" t="inlineStr">
        <is>
          <t>C/92503</t>
        </is>
      </c>
      <c r="C1133" t="inlineStr">
        <is>
          <t>CF690B BIM土木</t>
        </is>
      </c>
      <c r="D1133" t="inlineStr">
        <is>
          <t>外部</t>
        </is>
      </c>
      <c r="E1133" t="inlineStr">
        <is>
          <t>外案</t>
        </is>
      </c>
      <c r="F1133" s="3" t="n">
        <v>3007392</v>
      </c>
      <c r="G1133" s="3" t="n">
        <v>1253993</v>
      </c>
      <c r="H1133" s="3" t="n">
        <v>4261385</v>
      </c>
      <c r="I1133" s="3" t="n">
        <v>0</v>
      </c>
      <c r="J1133" s="3" t="n">
        <v>6703200</v>
      </c>
    </row>
    <row r="1134">
      <c r="A1134" t="inlineStr">
        <is>
          <t>累計 Year 2029</t>
        </is>
      </c>
      <c r="B1134" t="inlineStr">
        <is>
          <t>C/92504</t>
        </is>
      </c>
      <c r="C1134" t="inlineStr">
        <is>
          <t>擎邦-員榮總醫院BIM</t>
        </is>
      </c>
      <c r="D1134" t="inlineStr">
        <is>
          <t>外部</t>
        </is>
      </c>
      <c r="E1134" t="inlineStr">
        <is>
          <t>外案</t>
        </is>
      </c>
      <c r="F1134" s="3" t="n">
        <v>6304845</v>
      </c>
      <c r="G1134" s="3" t="n">
        <v>3095155</v>
      </c>
      <c r="H1134" s="3" t="n">
        <v>9400000</v>
      </c>
      <c r="I1134" s="3" t="n">
        <v>0</v>
      </c>
      <c r="J1134" s="3" t="n">
        <v>9400000</v>
      </c>
    </row>
    <row r="1135">
      <c r="A1135" t="inlineStr">
        <is>
          <t>累計 Year 2029</t>
        </is>
      </c>
      <c r="B1135" t="inlineStr">
        <is>
          <t>C/92601</t>
        </is>
      </c>
      <c r="C1135" t="inlineStr">
        <is>
          <t>擎邦-聯發科銅鑼</t>
        </is>
      </c>
      <c r="D1135" t="inlineStr">
        <is>
          <t>外部</t>
        </is>
      </c>
      <c r="E1135" t="inlineStr">
        <is>
          <t>外案</t>
        </is>
      </c>
      <c r="F1135" s="3" t="n">
        <v>575468</v>
      </c>
      <c r="G1135" s="3" t="n">
        <v>754532</v>
      </c>
      <c r="H1135" s="3" t="n">
        <v>1330000</v>
      </c>
      <c r="I1135" s="3" t="n">
        <v>0</v>
      </c>
      <c r="J1135" s="3" t="n">
        <v>1330000</v>
      </c>
    </row>
    <row r="1136">
      <c r="A1136" t="inlineStr">
        <is>
          <t>累計 Year 2029</t>
        </is>
      </c>
      <c r="B1136" t="inlineStr">
        <is>
          <t>C/92602</t>
        </is>
      </c>
      <c r="C1136" t="inlineStr">
        <is>
          <t>擎邦-CF624F機電(CF690B機電)</t>
        </is>
      </c>
      <c r="D1136" t="inlineStr">
        <is>
          <t>外部</t>
        </is>
      </c>
      <c r="E1136" t="inlineStr">
        <is>
          <t>外案</t>
        </is>
      </c>
      <c r="F1136" s="3" t="n">
        <v>6262052</v>
      </c>
      <c r="G1136" s="3" t="n">
        <v>2921953</v>
      </c>
      <c r="H1136" s="3" t="n">
        <v>9184005</v>
      </c>
      <c r="I1136" s="3" t="n">
        <v>0</v>
      </c>
      <c r="J1136" s="3" t="n">
        <v>6990000</v>
      </c>
    </row>
    <row r="1137">
      <c r="A1137" t="inlineStr">
        <is>
          <t>累計 Year 2029</t>
        </is>
      </c>
      <c r="B1137" t="inlineStr">
        <is>
          <t>C/92603</t>
        </is>
      </c>
      <c r="C1137" t="inlineStr">
        <is>
          <t>中華郵政信維機電</t>
        </is>
      </c>
      <c r="D1137" t="inlineStr">
        <is>
          <t>內部</t>
        </is>
      </c>
      <c r="E1137" t="inlineStr">
        <is>
          <t>內案</t>
        </is>
      </c>
      <c r="F1137" s="3" t="n">
        <v>6652886</v>
      </c>
      <c r="G1137" s="3" t="n">
        <v>3266316</v>
      </c>
      <c r="H1137" s="3" t="n">
        <v>9919202</v>
      </c>
      <c r="I1137" s="3" t="n">
        <v>0</v>
      </c>
      <c r="J1137" s="3" t="n">
        <v>11124000</v>
      </c>
    </row>
    <row r="1138">
      <c r="A1138" t="inlineStr">
        <is>
          <t>累計 Year 2029</t>
        </is>
      </c>
      <c r="B1138" t="inlineStr">
        <is>
          <t>C/91001_26</t>
        </is>
      </c>
      <c r="C1138" t="inlineStr">
        <is>
          <t>新取得BIM土木機電-26年</t>
        </is>
      </c>
      <c r="D1138" t="inlineStr">
        <is>
          <t>內部</t>
        </is>
      </c>
      <c r="E1138" t="inlineStr">
        <is>
          <t>內案</t>
        </is>
      </c>
      <c r="F1138" s="3" t="n">
        <v>0</v>
      </c>
      <c r="G1138" s="3" t="n">
        <v>0</v>
      </c>
      <c r="H1138" s="3" t="n">
        <v>0</v>
      </c>
      <c r="I1138" s="3" t="n">
        <v>0</v>
      </c>
      <c r="J1138" s="3" t="n">
        <v>0</v>
      </c>
    </row>
    <row r="1139">
      <c r="A1139" t="inlineStr">
        <is>
          <t>累計 Year 2029</t>
        </is>
      </c>
      <c r="B1139" t="inlineStr">
        <is>
          <t>C/91000_27</t>
        </is>
      </c>
      <c r="C1139" t="inlineStr">
        <is>
          <t>新取得BIM土木機電-26年</t>
        </is>
      </c>
      <c r="D1139" t="inlineStr">
        <is>
          <t>內部</t>
        </is>
      </c>
      <c r="E1139" t="inlineStr">
        <is>
          <t>內案</t>
        </is>
      </c>
      <c r="F1139" s="3" t="n">
        <v>0</v>
      </c>
      <c r="G1139" s="3" t="n">
        <v>0</v>
      </c>
      <c r="H1139" s="3" t="n">
        <v>0</v>
      </c>
      <c r="I1139" s="3" t="n">
        <v>0</v>
      </c>
      <c r="J1139" s="3" t="n">
        <v>0</v>
      </c>
    </row>
    <row r="1140">
      <c r="A1140" t="inlineStr">
        <is>
          <t>累計 Year 2029</t>
        </is>
      </c>
      <c r="B1140" t="inlineStr">
        <is>
          <t>C/91001_27</t>
        </is>
      </c>
      <c r="C1140" t="inlineStr">
        <is>
          <t>新取得BIM土木機電-27年</t>
        </is>
      </c>
      <c r="D1140" t="inlineStr">
        <is>
          <t>內部</t>
        </is>
      </c>
      <c r="E1140" t="inlineStr">
        <is>
          <t>內案</t>
        </is>
      </c>
      <c r="F1140" s="3" t="n">
        <v>17109356</v>
      </c>
      <c r="G1140" s="3" t="n">
        <v>8566826</v>
      </c>
      <c r="H1140" s="3" t="n">
        <v>25676182</v>
      </c>
      <c r="I1140" s="3" t="n">
        <v>0</v>
      </c>
      <c r="J1140" s="3" t="n">
        <v>22524000</v>
      </c>
    </row>
    <row r="1141">
      <c r="A1141" t="inlineStr">
        <is>
          <t>累計 Year 2029</t>
        </is>
      </c>
      <c r="B1141" t="inlineStr">
        <is>
          <t>C/91002_27</t>
        </is>
      </c>
      <c r="C1141" t="inlineStr">
        <is>
          <t>新取得BIM土木機電-28年</t>
        </is>
      </c>
      <c r="D1141" t="inlineStr">
        <is>
          <t>內部</t>
        </is>
      </c>
      <c r="E1141" t="inlineStr">
        <is>
          <t>內案</t>
        </is>
      </c>
      <c r="F1141" s="3" t="n">
        <v>6690500</v>
      </c>
      <c r="G1141" s="3" t="n">
        <v>3278197</v>
      </c>
      <c r="H1141" s="3" t="n">
        <v>9968697</v>
      </c>
      <c r="I1141" s="3" t="n">
        <v>0</v>
      </c>
      <c r="J1141" s="3" t="n">
        <v>10700000</v>
      </c>
    </row>
    <row r="1142">
      <c r="A1142" t="inlineStr">
        <is>
          <t>累計 Year 2029</t>
        </is>
      </c>
      <c r="B1142" t="inlineStr">
        <is>
          <t>C/91003_27</t>
        </is>
      </c>
      <c r="C1142" t="inlineStr">
        <is>
          <t>新取得BIM土木機電-29年</t>
        </is>
      </c>
      <c r="D1142" t="inlineStr">
        <is>
          <t>內部</t>
        </is>
      </c>
      <c r="E1142" t="inlineStr">
        <is>
          <t>內案</t>
        </is>
      </c>
      <c r="F1142" s="3" t="n">
        <v>2667660</v>
      </c>
      <c r="G1142" s="3" t="n">
        <v>1290142</v>
      </c>
      <c r="H1142" s="3" t="n">
        <v>3957802</v>
      </c>
      <c r="I1142" s="3" t="n">
        <v>0</v>
      </c>
      <c r="J1142" s="3" t="n">
        <v>7400000</v>
      </c>
    </row>
    <row r="1143">
      <c r="A1143" t="inlineStr">
        <is>
          <t>累計 Year 2029</t>
        </is>
      </c>
      <c r="B1143" t="inlineStr">
        <is>
          <t>C/91004_27</t>
        </is>
      </c>
      <c r="C1143" t="inlineStr">
        <is>
          <t>新取得BIM土木機電-30年</t>
        </is>
      </c>
      <c r="D1143" t="inlineStr">
        <is>
          <t>內部</t>
        </is>
      </c>
      <c r="E1143" t="inlineStr">
        <is>
          <t>內案</t>
        </is>
      </c>
      <c r="F1143" s="3" t="n">
        <v>0</v>
      </c>
      <c r="G1143" s="3" t="n">
        <v>0</v>
      </c>
      <c r="H1143" s="3" t="n">
        <v>0</v>
      </c>
      <c r="I1143" s="3" t="n">
        <v>0</v>
      </c>
      <c r="J1143" s="3" t="n">
        <v>0</v>
      </c>
    </row>
    <row r="1144">
      <c r="A1144" t="inlineStr">
        <is>
          <t>累計 Year 2029</t>
        </is>
      </c>
      <c r="B1144" t="inlineStr">
        <is>
          <t>C/91005_27</t>
        </is>
      </c>
      <c r="C1144" t="inlineStr">
        <is>
          <t>新取得BIM土木機電-31年</t>
        </is>
      </c>
      <c r="D1144" t="inlineStr">
        <is>
          <t>內部</t>
        </is>
      </c>
      <c r="E1144" t="inlineStr">
        <is>
          <t>內案</t>
        </is>
      </c>
      <c r="F1144" s="3" t="n">
        <v>0</v>
      </c>
      <c r="G1144" s="3" t="n">
        <v>0</v>
      </c>
      <c r="H1144" s="3" t="n">
        <v>0</v>
      </c>
      <c r="I1144" s="3" t="n">
        <v>0</v>
      </c>
      <c r="J1144" s="3" t="n">
        <v>0</v>
      </c>
    </row>
    <row r="1145">
      <c r="A1145" t="inlineStr">
        <is>
          <t>累計 Year 2029</t>
        </is>
      </c>
      <c r="B1145" t="inlineStr">
        <is>
          <t>C/9210F</t>
        </is>
      </c>
      <c r="C1145" t="inlineStr">
        <is>
          <t>南港機廠BIM建築</t>
        </is>
      </c>
      <c r="D1145" t="inlineStr">
        <is>
          <t>外部</t>
        </is>
      </c>
      <c r="E1145" t="inlineStr">
        <is>
          <t>外案</t>
        </is>
      </c>
      <c r="F1145" s="3" t="n">
        <v>7070420</v>
      </c>
      <c r="G1145" s="3" t="n">
        <v>4041580</v>
      </c>
      <c r="H1145" s="3" t="n">
        <v>11112000</v>
      </c>
      <c r="I1145" s="3" t="n">
        <v>0</v>
      </c>
      <c r="J1145" s="3" t="n">
        <v>11112000</v>
      </c>
    </row>
    <row r="1146">
      <c r="A1146" t="inlineStr">
        <is>
          <t>累計 Year 2029</t>
        </is>
      </c>
      <c r="B1146" t="inlineStr">
        <is>
          <t>C/9210G</t>
        </is>
      </c>
      <c r="C1146" t="inlineStr">
        <is>
          <t>富邦忠孝懷生BIM建築</t>
        </is>
      </c>
      <c r="D1146" t="inlineStr">
        <is>
          <t>內部</t>
        </is>
      </c>
      <c r="E1146" t="inlineStr">
        <is>
          <t>內案</t>
        </is>
      </c>
      <c r="F1146" s="3" t="n">
        <v>8421321</v>
      </c>
      <c r="G1146" s="3" t="n">
        <v>-795674</v>
      </c>
      <c r="H1146" s="3" t="n">
        <v>7625647</v>
      </c>
      <c r="I1146" s="3" t="n">
        <v>-20279</v>
      </c>
      <c r="J1146" s="3" t="n">
        <v>7820000</v>
      </c>
    </row>
    <row r="1147">
      <c r="A1147" t="inlineStr">
        <is>
          <t>累計 Year 2029</t>
        </is>
      </c>
      <c r="B1147" t="inlineStr">
        <is>
          <t>C/9220E</t>
        </is>
      </c>
      <c r="C1147" t="inlineStr">
        <is>
          <t>柏鴻北士科 C/9100A-22A</t>
        </is>
      </c>
      <c r="D1147" t="inlineStr">
        <is>
          <t>內部</t>
        </is>
      </c>
      <c r="E1147" t="inlineStr">
        <is>
          <t>內案</t>
        </is>
      </c>
      <c r="F1147" s="3" t="n">
        <v>2328910</v>
      </c>
      <c r="G1147" s="3" t="n">
        <v>1596878</v>
      </c>
      <c r="H1147" s="3" t="n">
        <v>3925788</v>
      </c>
      <c r="I1147" s="3" t="n">
        <v>0</v>
      </c>
      <c r="J1147" s="3" t="n">
        <v>4030000</v>
      </c>
    </row>
    <row r="1148">
      <c r="A1148" t="inlineStr">
        <is>
          <t>累計 Year 2029</t>
        </is>
      </c>
      <c r="B1148" t="inlineStr">
        <is>
          <t>C/9230A</t>
        </is>
      </c>
      <c r="C1148" t="inlineStr">
        <is>
          <t>信義兒福BIM建築</t>
        </is>
      </c>
      <c r="D1148" t="inlineStr">
        <is>
          <t>外部</t>
        </is>
      </c>
      <c r="E1148" t="inlineStr">
        <is>
          <t>外案</t>
        </is>
      </c>
      <c r="F1148" s="3" t="n">
        <v>3085739</v>
      </c>
      <c r="G1148" s="3" t="n">
        <v>1225317</v>
      </c>
      <c r="H1148" s="3" t="n">
        <v>4311056</v>
      </c>
      <c r="I1148" s="3" t="n">
        <v>0</v>
      </c>
      <c r="J1148" s="3" t="n">
        <v>4090500</v>
      </c>
    </row>
    <row r="1149">
      <c r="A1149" t="inlineStr">
        <is>
          <t>累計 Year 2029</t>
        </is>
      </c>
      <c r="B1149" t="inlineStr">
        <is>
          <t>C/9230B</t>
        </is>
      </c>
      <c r="C1149" t="inlineStr">
        <is>
          <t>北捷劍潭TOD</t>
        </is>
      </c>
      <c r="D1149" t="inlineStr">
        <is>
          <t>內部</t>
        </is>
      </c>
      <c r="E1149" t="inlineStr">
        <is>
          <t>內案</t>
        </is>
      </c>
      <c r="F1149" s="3" t="n">
        <v>12015135</v>
      </c>
      <c r="G1149" s="3" t="n">
        <v>6652560</v>
      </c>
      <c r="H1149" s="3" t="n">
        <v>18667695</v>
      </c>
      <c r="I1149" s="3" t="n">
        <v>0</v>
      </c>
      <c r="J1149" s="3" t="n">
        <v>19200000</v>
      </c>
    </row>
    <row r="1150">
      <c r="A1150" t="inlineStr">
        <is>
          <t>累計 Year 2029</t>
        </is>
      </c>
      <c r="B1150" t="inlineStr">
        <is>
          <t>C/9230C</t>
        </is>
      </c>
      <c r="C1150" t="inlineStr">
        <is>
          <t>慶城福華-23年</t>
        </is>
      </c>
      <c r="D1150" t="inlineStr">
        <is>
          <t>內部</t>
        </is>
      </c>
      <c r="E1150" t="inlineStr">
        <is>
          <t>內案</t>
        </is>
      </c>
      <c r="F1150" s="3" t="n">
        <v>2933733</v>
      </c>
      <c r="G1150" s="3" t="n">
        <v>1595217</v>
      </c>
      <c r="H1150" s="3" t="n">
        <v>4528950</v>
      </c>
      <c r="I1150" s="3" t="n">
        <v>0</v>
      </c>
      <c r="J1150" s="3" t="n">
        <v>4940000</v>
      </c>
    </row>
    <row r="1151">
      <c r="A1151" t="inlineStr">
        <is>
          <t>累計 Year 2029</t>
        </is>
      </c>
      <c r="B1151" t="inlineStr">
        <is>
          <t>C/9240A</t>
        </is>
      </c>
      <c r="C1151" t="inlineStr">
        <is>
          <t>南港國際一</t>
        </is>
      </c>
      <c r="D1151" t="inlineStr">
        <is>
          <t>內部</t>
        </is>
      </c>
      <c r="E1151" t="inlineStr">
        <is>
          <t>內案</t>
        </is>
      </c>
      <c r="F1151" s="3" t="n">
        <v>16341779</v>
      </c>
      <c r="G1151" s="3" t="n">
        <v>14399490</v>
      </c>
      <c r="H1151" s="3" t="n">
        <v>30741269</v>
      </c>
      <c r="I1151" s="3" t="n">
        <v>0</v>
      </c>
      <c r="J1151" s="3" t="n">
        <v>31186000</v>
      </c>
    </row>
    <row r="1152">
      <c r="A1152" t="inlineStr">
        <is>
          <t>累計 Year 2029</t>
        </is>
      </c>
      <c r="B1152" t="inlineStr">
        <is>
          <t>C/9240B</t>
        </is>
      </c>
      <c r="C1152" t="inlineStr">
        <is>
          <t xml:space="preserve">台中洲際BIM建築 </t>
        </is>
      </c>
      <c r="D1152" t="inlineStr">
        <is>
          <t>內部</t>
        </is>
      </c>
      <c r="E1152" t="inlineStr">
        <is>
          <t>內案</t>
        </is>
      </c>
      <c r="F1152" s="3" t="n">
        <v>1681852</v>
      </c>
      <c r="G1152" s="3" t="n">
        <v>518148</v>
      </c>
      <c r="H1152" s="3" t="n">
        <v>2200000</v>
      </c>
      <c r="I1152" s="3" t="n">
        <v>0</v>
      </c>
      <c r="J1152" s="3" t="n">
        <v>2200000</v>
      </c>
    </row>
    <row r="1153">
      <c r="A1153" t="inlineStr">
        <is>
          <t>累計 Year 2029</t>
        </is>
      </c>
      <c r="B1153" t="inlineStr">
        <is>
          <t>C/9240C</t>
        </is>
      </c>
      <c r="C1153" t="inlineStr">
        <is>
          <t xml:space="preserve">大直金泰BIM建築 </t>
        </is>
      </c>
      <c r="D1153" t="inlineStr">
        <is>
          <t>內部</t>
        </is>
      </c>
      <c r="E1153" t="inlineStr">
        <is>
          <t>內案</t>
        </is>
      </c>
      <c r="F1153" s="3" t="n">
        <v>2266711</v>
      </c>
      <c r="G1153" s="3" t="n">
        <v>510071</v>
      </c>
      <c r="H1153" s="3" t="n">
        <v>2776782</v>
      </c>
      <c r="I1153" s="3" t="n">
        <v>0</v>
      </c>
      <c r="J1153" s="3" t="n">
        <v>3125000</v>
      </c>
    </row>
    <row r="1154">
      <c r="A1154" t="inlineStr">
        <is>
          <t>累計 Year 2029</t>
        </is>
      </c>
      <c r="B1154" t="inlineStr">
        <is>
          <t>C/9240D</t>
        </is>
      </c>
      <c r="C1154" t="inlineStr">
        <is>
          <t xml:space="preserve">板橋新雅BIM建築 </t>
        </is>
      </c>
      <c r="D1154" t="inlineStr">
        <is>
          <t>內部</t>
        </is>
      </c>
      <c r="E1154" t="inlineStr">
        <is>
          <t>內案</t>
        </is>
      </c>
      <c r="F1154" s="3" t="n">
        <v>899848</v>
      </c>
      <c r="G1154" s="3" t="n">
        <v>788507</v>
      </c>
      <c r="H1154" s="3" t="n">
        <v>1688355</v>
      </c>
      <c r="I1154" s="3" t="n">
        <v>0</v>
      </c>
      <c r="J1154" s="3" t="n">
        <v>2042000</v>
      </c>
    </row>
    <row r="1155">
      <c r="A1155" t="inlineStr">
        <is>
          <t>累計 Year 2029</t>
        </is>
      </c>
      <c r="B1155" t="inlineStr">
        <is>
          <t>C/9240E</t>
        </is>
      </c>
      <c r="C1155" t="inlineStr">
        <is>
          <t xml:space="preserve">板橋四維BIM建築 </t>
        </is>
      </c>
      <c r="D1155" t="inlineStr">
        <is>
          <t>內部</t>
        </is>
      </c>
      <c r="E1155" t="inlineStr">
        <is>
          <t>內案</t>
        </is>
      </c>
      <c r="F1155" s="3" t="n">
        <v>1089400</v>
      </c>
      <c r="G1155" s="3" t="n">
        <v>1112600</v>
      </c>
      <c r="H1155" s="3" t="n">
        <v>2202000</v>
      </c>
      <c r="I1155" s="3" t="n">
        <v>0</v>
      </c>
      <c r="J1155" s="3" t="n">
        <v>2202000</v>
      </c>
    </row>
    <row r="1156">
      <c r="A1156" t="inlineStr">
        <is>
          <t>累計 Year 2029</t>
        </is>
      </c>
      <c r="B1156" t="inlineStr">
        <is>
          <t>C/9240F</t>
        </is>
      </c>
      <c r="C1156" t="inlineStr">
        <is>
          <t>台中新美齊</t>
        </is>
      </c>
      <c r="D1156" t="inlineStr">
        <is>
          <t>內部</t>
        </is>
      </c>
      <c r="E1156" t="inlineStr">
        <is>
          <t>內案</t>
        </is>
      </c>
      <c r="F1156" s="3" t="n">
        <v>1753277</v>
      </c>
      <c r="G1156" s="3" t="n">
        <v>1537426</v>
      </c>
      <c r="H1156" s="3" t="n">
        <v>3290703</v>
      </c>
      <c r="I1156" s="3" t="n">
        <v>0</v>
      </c>
      <c r="J1156" s="3" t="n">
        <v>3365000</v>
      </c>
    </row>
    <row r="1157">
      <c r="A1157" t="inlineStr">
        <is>
          <t>累計 Year 2029</t>
        </is>
      </c>
      <c r="B1157" t="inlineStr">
        <is>
          <t>C/9240G</t>
        </is>
      </c>
      <c r="C1157" t="inlineStr">
        <is>
          <t>晨禎片片山閑</t>
        </is>
      </c>
      <c r="D1157" t="inlineStr">
        <is>
          <t>外部</t>
        </is>
      </c>
      <c r="E1157" t="inlineStr">
        <is>
          <t>外案</t>
        </is>
      </c>
      <c r="F1157" s="3" t="n">
        <v>1250140</v>
      </c>
      <c r="G1157" s="3" t="n">
        <v>1797480</v>
      </c>
      <c r="H1157" s="3" t="n">
        <v>3047620</v>
      </c>
      <c r="I1157" s="3" t="n">
        <v>0</v>
      </c>
      <c r="J1157" s="3" t="n">
        <v>3047620</v>
      </c>
    </row>
    <row r="1158">
      <c r="A1158" t="inlineStr">
        <is>
          <t>累計 Year 2029</t>
        </is>
      </c>
      <c r="B1158" t="inlineStr">
        <is>
          <t>C/9250A</t>
        </is>
      </c>
      <c r="C1158" t="inlineStr">
        <is>
          <t>南機二區BIM服務</t>
        </is>
      </c>
      <c r="D1158" t="inlineStr">
        <is>
          <t>內部</t>
        </is>
      </c>
      <c r="E1158" t="inlineStr">
        <is>
          <t>內案</t>
        </is>
      </c>
      <c r="F1158" s="3" t="n">
        <v>27638411</v>
      </c>
      <c r="G1158" s="3" t="n">
        <v>6863987</v>
      </c>
      <c r="H1158" s="3" t="n">
        <v>34502398</v>
      </c>
      <c r="I1158" s="3" t="n">
        <v>0</v>
      </c>
      <c r="J1158" s="3" t="n">
        <v>35067000</v>
      </c>
    </row>
    <row r="1159">
      <c r="A1159" t="inlineStr">
        <is>
          <t>累計 Year 2029</t>
        </is>
      </c>
      <c r="B1159" t="inlineStr">
        <is>
          <t>C/9250B</t>
        </is>
      </c>
      <c r="C1159" t="inlineStr">
        <is>
          <t>璞真南港總部</t>
        </is>
      </c>
      <c r="D1159" t="inlineStr">
        <is>
          <t>內部</t>
        </is>
      </c>
      <c r="E1159" t="inlineStr">
        <is>
          <t>內案</t>
        </is>
      </c>
      <c r="F1159" s="3" t="n">
        <v>1165035</v>
      </c>
      <c r="G1159" s="3" t="n">
        <v>580792</v>
      </c>
      <c r="H1159" s="3" t="n">
        <v>1745827</v>
      </c>
      <c r="I1159" s="3" t="n">
        <v>0</v>
      </c>
      <c r="J1159" s="3" t="n">
        <v>1910000</v>
      </c>
    </row>
    <row r="1160">
      <c r="A1160" t="inlineStr">
        <is>
          <t>累計 Year 2029</t>
        </is>
      </c>
      <c r="B1160" t="inlineStr">
        <is>
          <t>C/9250C</t>
        </is>
      </c>
      <c r="C1160" t="inlineStr">
        <is>
          <t>築源南港</t>
        </is>
      </c>
      <c r="D1160" t="inlineStr">
        <is>
          <t>內部</t>
        </is>
      </c>
      <c r="E1160" t="inlineStr">
        <is>
          <t>內案</t>
        </is>
      </c>
      <c r="F1160" s="3" t="n">
        <v>2645757</v>
      </c>
      <c r="G1160" s="3" t="n">
        <v>1236743</v>
      </c>
      <c r="H1160" s="3" t="n">
        <v>3882500</v>
      </c>
      <c r="I1160" s="3" t="n">
        <v>0</v>
      </c>
      <c r="J1160" s="3" t="n">
        <v>3969500</v>
      </c>
    </row>
    <row r="1161">
      <c r="A1161" t="inlineStr">
        <is>
          <t>累計 Year 2029</t>
        </is>
      </c>
      <c r="B1161" t="inlineStr">
        <is>
          <t>C/9250D</t>
        </is>
      </c>
      <c r="C1161" t="inlineStr">
        <is>
          <t>南港三重</t>
        </is>
      </c>
      <c r="D1161" t="inlineStr">
        <is>
          <t>內部</t>
        </is>
      </c>
      <c r="E1161" t="inlineStr">
        <is>
          <t>內案</t>
        </is>
      </c>
      <c r="F1161" s="3" t="n">
        <v>1809660</v>
      </c>
      <c r="G1161" s="3" t="n">
        <v>824824</v>
      </c>
      <c r="H1161" s="3" t="n">
        <v>2634484</v>
      </c>
      <c r="I1161" s="3" t="n">
        <v>0</v>
      </c>
      <c r="J1161" s="3" t="n">
        <v>2655000</v>
      </c>
    </row>
    <row r="1162">
      <c r="A1162" t="inlineStr">
        <is>
          <t>累計 Year 2029</t>
        </is>
      </c>
      <c r="B1162" t="inlineStr">
        <is>
          <t>C/9260A</t>
        </is>
      </c>
      <c r="C1162" t="inlineStr">
        <is>
          <t>台中楓溪</t>
        </is>
      </c>
      <c r="D1162" t="inlineStr">
        <is>
          <t>內部</t>
        </is>
      </c>
      <c r="E1162" t="inlineStr">
        <is>
          <t>內案</t>
        </is>
      </c>
      <c r="F1162" s="3" t="n">
        <v>1295167</v>
      </c>
      <c r="G1162" s="3" t="n">
        <v>590037</v>
      </c>
      <c r="H1162" s="3" t="n">
        <v>1885204</v>
      </c>
      <c r="I1162" s="3" t="n">
        <v>0</v>
      </c>
      <c r="J1162" s="3" t="n">
        <v>2588000</v>
      </c>
    </row>
    <row r="1163">
      <c r="A1163" t="inlineStr">
        <is>
          <t>累計 Year 2029</t>
        </is>
      </c>
      <c r="B1163" t="inlineStr">
        <is>
          <t>C/9260B</t>
        </is>
      </c>
      <c r="C1163" t="inlineStr">
        <is>
          <t>樺輝永鑄</t>
        </is>
      </c>
      <c r="D1163" t="inlineStr">
        <is>
          <t>內部</t>
        </is>
      </c>
      <c r="E1163" t="inlineStr">
        <is>
          <t>內案</t>
        </is>
      </c>
      <c r="F1163" s="3" t="n">
        <v>2567070</v>
      </c>
      <c r="G1163" s="3" t="n">
        <v>500481</v>
      </c>
      <c r="H1163" s="3" t="n">
        <v>3067551</v>
      </c>
      <c r="I1163" s="3" t="n">
        <v>0</v>
      </c>
      <c r="J1163" s="3" t="n">
        <v>4070040</v>
      </c>
    </row>
    <row r="1164">
      <c r="A1164" t="inlineStr">
        <is>
          <t>累計 Year 2029</t>
        </is>
      </c>
      <c r="B1164" t="inlineStr">
        <is>
          <t>C/9260C</t>
        </is>
      </c>
      <c r="C1164" t="inlineStr">
        <is>
          <t>中華郵政信維</t>
        </is>
      </c>
      <c r="D1164" t="inlineStr">
        <is>
          <t>內部</t>
        </is>
      </c>
      <c r="E1164" t="inlineStr">
        <is>
          <t>內案</t>
        </is>
      </c>
      <c r="F1164" s="3" t="n">
        <v>5229882</v>
      </c>
      <c r="G1164" s="3" t="n">
        <v>2259230</v>
      </c>
      <c r="H1164" s="3" t="n">
        <v>7489112</v>
      </c>
      <c r="I1164" s="3" t="n">
        <v>0</v>
      </c>
      <c r="J1164" s="3" t="n">
        <v>10992500</v>
      </c>
    </row>
    <row r="1165">
      <c r="A1165" t="inlineStr">
        <is>
          <t>累計 Year 2029</t>
        </is>
      </c>
      <c r="B1165" t="inlineStr">
        <is>
          <t>C/9260D</t>
        </is>
      </c>
      <c r="C1165" t="inlineStr">
        <is>
          <t>大安復興</t>
        </is>
      </c>
      <c r="D1165" t="inlineStr">
        <is>
          <t>內部</t>
        </is>
      </c>
      <c r="E1165" t="inlineStr">
        <is>
          <t>內案</t>
        </is>
      </c>
      <c r="F1165" s="3" t="n">
        <v>788888</v>
      </c>
      <c r="G1165" s="3" t="n">
        <v>313429</v>
      </c>
      <c r="H1165" s="3" t="n">
        <v>1102317</v>
      </c>
      <c r="I1165" s="3" t="n">
        <v>0</v>
      </c>
      <c r="J1165" s="3" t="n">
        <v>1960000</v>
      </c>
    </row>
    <row r="1166">
      <c r="A1166" t="inlineStr">
        <is>
          <t>累計 Year 2029</t>
        </is>
      </c>
      <c r="B1166" t="inlineStr">
        <is>
          <t>C/9100B_26</t>
        </is>
      </c>
      <c r="C1166" t="inlineStr">
        <is>
          <t>新取得BIM建築-26年</t>
        </is>
      </c>
      <c r="D1166" t="inlineStr">
        <is>
          <t>內部</t>
        </is>
      </c>
      <c r="E1166" t="inlineStr">
        <is>
          <t>內案</t>
        </is>
      </c>
      <c r="F1166" s="3" t="n">
        <v>0</v>
      </c>
      <c r="G1166" s="3" t="n">
        <v>0</v>
      </c>
      <c r="H1166" s="3" t="n">
        <v>0</v>
      </c>
      <c r="I1166" s="3" t="n">
        <v>0</v>
      </c>
      <c r="J1166" s="3" t="n">
        <v>0</v>
      </c>
    </row>
    <row r="1167">
      <c r="A1167" t="inlineStr">
        <is>
          <t>累計 Year 2029</t>
        </is>
      </c>
      <c r="B1167" t="inlineStr">
        <is>
          <t>C/9100A_27</t>
        </is>
      </c>
      <c r="C1167" t="inlineStr">
        <is>
          <t>新取得BIM建築-26年</t>
        </is>
      </c>
      <c r="D1167" t="inlineStr">
        <is>
          <t>內部</t>
        </is>
      </c>
      <c r="E1167" t="inlineStr">
        <is>
          <t>內案</t>
        </is>
      </c>
      <c r="F1167" s="3" t="n">
        <v>0</v>
      </c>
      <c r="G1167" s="3" t="n">
        <v>0</v>
      </c>
      <c r="H1167" s="3" t="n">
        <v>0</v>
      </c>
      <c r="I1167" s="3" t="n">
        <v>0</v>
      </c>
      <c r="J1167" s="3" t="n">
        <v>0</v>
      </c>
    </row>
    <row r="1168">
      <c r="A1168" t="inlineStr">
        <is>
          <t>累計 Year 2029</t>
        </is>
      </c>
      <c r="B1168" t="inlineStr">
        <is>
          <t>C/9100B_27</t>
        </is>
      </c>
      <c r="C1168" t="inlineStr">
        <is>
          <t>新取得BIM建築-27年</t>
        </is>
      </c>
      <c r="D1168" t="inlineStr">
        <is>
          <t>內部</t>
        </is>
      </c>
      <c r="E1168" t="inlineStr">
        <is>
          <t>內案</t>
        </is>
      </c>
      <c r="F1168" s="3" t="n">
        <v>26447710</v>
      </c>
      <c r="G1168" s="3" t="n">
        <v>10010796</v>
      </c>
      <c r="H1168" s="3" t="n">
        <v>36458506</v>
      </c>
      <c r="I1168" s="3" t="n">
        <v>0</v>
      </c>
      <c r="J1168" s="3" t="n">
        <v>37132500</v>
      </c>
    </row>
    <row r="1169">
      <c r="A1169" t="inlineStr">
        <is>
          <t>累計 Year 2029</t>
        </is>
      </c>
      <c r="B1169" t="inlineStr">
        <is>
          <t>C/9100C_27</t>
        </is>
      </c>
      <c r="C1169" t="inlineStr">
        <is>
          <t>新取得BIM建築-28年</t>
        </is>
      </c>
      <c r="D1169" t="inlineStr">
        <is>
          <t>內部</t>
        </is>
      </c>
      <c r="E1169" t="inlineStr">
        <is>
          <t>內案</t>
        </is>
      </c>
      <c r="F1169" s="3" t="n">
        <v>14058174</v>
      </c>
      <c r="G1169" s="3" t="n">
        <v>5300993</v>
      </c>
      <c r="H1169" s="3" t="n">
        <v>19359167</v>
      </c>
      <c r="I1169" s="3" t="n">
        <v>0</v>
      </c>
      <c r="J1169" s="3" t="n">
        <v>19791000</v>
      </c>
    </row>
    <row r="1170">
      <c r="A1170" t="inlineStr">
        <is>
          <t>累計 Year 2029</t>
        </is>
      </c>
      <c r="B1170" t="inlineStr">
        <is>
          <t>C/9100D_27</t>
        </is>
      </c>
      <c r="C1170" t="inlineStr">
        <is>
          <t>新取得BIM建築-29年</t>
        </is>
      </c>
      <c r="D1170" t="inlineStr">
        <is>
          <t>內部</t>
        </is>
      </c>
      <c r="E1170" t="inlineStr">
        <is>
          <t>內案</t>
        </is>
      </c>
      <c r="F1170" s="3" t="n">
        <v>5560576</v>
      </c>
      <c r="G1170" s="3" t="n">
        <v>2113410</v>
      </c>
      <c r="H1170" s="3" t="n">
        <v>7673986</v>
      </c>
      <c r="I1170" s="3" t="n">
        <v>0</v>
      </c>
      <c r="J1170" s="3" t="n">
        <v>7734000</v>
      </c>
    </row>
    <row r="1171">
      <c r="A1171" t="inlineStr">
        <is>
          <t>累計 Year 2029</t>
        </is>
      </c>
      <c r="B1171" t="inlineStr">
        <is>
          <t>C/9100E_27</t>
        </is>
      </c>
      <c r="C1171" t="inlineStr">
        <is>
          <t>新取得BIM建築-30年</t>
        </is>
      </c>
      <c r="D1171" t="inlineStr">
        <is>
          <t>內部</t>
        </is>
      </c>
      <c r="E1171" t="inlineStr">
        <is>
          <t>內案</t>
        </is>
      </c>
      <c r="F1171" s="3" t="n">
        <v>0</v>
      </c>
      <c r="G1171" s="3" t="n">
        <v>0</v>
      </c>
      <c r="H1171" s="3" t="n">
        <v>0</v>
      </c>
      <c r="I1171" s="3" t="n">
        <v>0</v>
      </c>
      <c r="J1171" s="3" t="n">
        <v>0</v>
      </c>
    </row>
    <row r="1172">
      <c r="A1172" t="inlineStr">
        <is>
          <t>累計 Year 2029</t>
        </is>
      </c>
      <c r="B1172" t="inlineStr">
        <is>
          <t>C/9100F_27</t>
        </is>
      </c>
      <c r="C1172" t="inlineStr">
        <is>
          <t>新取得BIM建築-31年</t>
        </is>
      </c>
      <c r="D1172" t="inlineStr">
        <is>
          <t>內部</t>
        </is>
      </c>
      <c r="E1172" t="inlineStr">
        <is>
          <t>內案</t>
        </is>
      </c>
      <c r="F1172" s="3" t="n">
        <v>0</v>
      </c>
      <c r="G1172" s="3" t="n">
        <v>0</v>
      </c>
      <c r="H1172" s="3" t="n">
        <v>0</v>
      </c>
      <c r="I1172" s="3" t="n">
        <v>0</v>
      </c>
      <c r="J1172" s="3" t="n">
        <v>0</v>
      </c>
    </row>
    <row r="1173">
      <c r="A1173" t="inlineStr">
        <is>
          <t>累計 Year 2029</t>
        </is>
      </c>
      <c r="B1173" t="inlineStr">
        <is>
          <t>C/99992</t>
        </is>
      </c>
      <c r="C1173" t="inlineStr">
        <is>
          <t>雜項BIM土木機電</t>
        </is>
      </c>
      <c r="D1173" t="inlineStr">
        <is>
          <t>內/無</t>
        </is>
      </c>
      <c r="E1173" t="inlineStr">
        <is>
          <t>雜項</t>
        </is>
      </c>
      <c r="F1173" s="3" t="n">
        <v>2789930</v>
      </c>
      <c r="G1173" s="3" t="n">
        <v>511570</v>
      </c>
      <c r="H1173" s="3" t="n">
        <v>3301500</v>
      </c>
      <c r="I1173" s="3" t="n">
        <v>0</v>
      </c>
      <c r="J1173" s="3" t="n">
        <v>4318200</v>
      </c>
    </row>
    <row r="1174">
      <c r="A1174" t="inlineStr">
        <is>
          <t>累計 Year 2029</t>
        </is>
      </c>
      <c r="B1174" t="inlineStr">
        <is>
          <t>C/99992-1</t>
        </is>
      </c>
      <c r="C1174" t="inlineStr">
        <is>
          <t>雜項BIM土木機電(外案收入)</t>
        </is>
      </c>
      <c r="D1174" t="inlineStr">
        <is>
          <t>外部</t>
        </is>
      </c>
      <c r="E1174" t="inlineStr">
        <is>
          <t>外案</t>
        </is>
      </c>
      <c r="F1174" s="3" t="n">
        <v>39200</v>
      </c>
      <c r="G1174" s="3" t="n">
        <v>13300</v>
      </c>
      <c r="H1174" s="3" t="n">
        <v>52500</v>
      </c>
      <c r="I1174" s="3" t="n">
        <v>0</v>
      </c>
      <c r="J1174" s="3" t="n">
        <v>267500</v>
      </c>
    </row>
    <row r="1175">
      <c r="A1175" t="inlineStr">
        <is>
          <t>累計 Year 2029</t>
        </is>
      </c>
      <c r="B1175" t="inlineStr">
        <is>
          <t>C/99993</t>
        </is>
      </c>
      <c r="C1175" t="inlineStr">
        <is>
          <t>備標BIM土木機電</t>
        </is>
      </c>
      <c r="D1175" t="inlineStr">
        <is>
          <t>備標</t>
        </is>
      </c>
      <c r="E1175" t="inlineStr">
        <is>
          <t>備標</t>
        </is>
      </c>
      <c r="F1175" s="3" t="n">
        <v>1734741</v>
      </c>
      <c r="G1175" s="3" t="n">
        <v>1906759</v>
      </c>
      <c r="H1175" s="3" t="n">
        <v>3641500</v>
      </c>
      <c r="I1175" s="3" t="n">
        <v>0</v>
      </c>
      <c r="J1175" s="3" t="n">
        <v>7631600</v>
      </c>
    </row>
    <row r="1176">
      <c r="A1176" t="inlineStr">
        <is>
          <t>累計 Year 2029</t>
        </is>
      </c>
      <c r="B1176" t="inlineStr">
        <is>
          <t>C/9999B</t>
        </is>
      </c>
      <c r="C1176" t="inlineStr">
        <is>
          <t>雜項BIM建築</t>
        </is>
      </c>
      <c r="D1176" t="inlineStr">
        <is>
          <t>內/無</t>
        </is>
      </c>
      <c r="E1176" t="inlineStr">
        <is>
          <t>雜項</t>
        </is>
      </c>
      <c r="F1176" s="3" t="n">
        <v>1359204</v>
      </c>
      <c r="G1176" s="3" t="n">
        <v>385796</v>
      </c>
      <c r="H1176" s="3" t="n">
        <v>1745000</v>
      </c>
      <c r="I1176" s="3" t="n">
        <v>0</v>
      </c>
      <c r="J1176" s="3" t="n">
        <v>3375000</v>
      </c>
    </row>
    <row r="1177">
      <c r="A1177" t="inlineStr">
        <is>
          <t>累計 Year 2029</t>
        </is>
      </c>
      <c r="B1177" t="inlineStr">
        <is>
          <t>C/9999D</t>
        </is>
      </c>
      <c r="C1177" t="inlineStr">
        <is>
          <t>備標BIM建築</t>
        </is>
      </c>
      <c r="D1177" t="inlineStr">
        <is>
          <t>備標</t>
        </is>
      </c>
      <c r="E1177" t="inlineStr">
        <is>
          <t>備標</t>
        </is>
      </c>
      <c r="F1177" s="3" t="n">
        <v>1684733</v>
      </c>
      <c r="G1177" s="3" t="n">
        <v>-389733</v>
      </c>
      <c r="H1177" s="3" t="n">
        <v>1295000</v>
      </c>
      <c r="I1177" s="3" t="n">
        <v>0</v>
      </c>
      <c r="J1177" s="3" t="n">
        <v>2015000</v>
      </c>
    </row>
    <row r="1178">
      <c r="A1178" t="inlineStr">
        <is>
          <t>Year 2030</t>
        </is>
      </c>
      <c r="B1178" t="inlineStr">
        <is>
          <t>C/92103</t>
        </is>
      </c>
      <c r="C1178" t="inlineStr">
        <is>
          <t>CQ840 BIM</t>
        </is>
      </c>
      <c r="D1178" t="inlineStr">
        <is>
          <t>內部</t>
        </is>
      </c>
      <c r="E1178" t="inlineStr">
        <is>
          <t>內案</t>
        </is>
      </c>
      <c r="F1178" s="3" t="n">
        <v>0</v>
      </c>
      <c r="G1178" s="3" t="n">
        <v>0</v>
      </c>
      <c r="H1178" s="3" t="n">
        <v>0</v>
      </c>
      <c r="I1178" s="3" t="n">
        <v>0</v>
      </c>
      <c r="J1178" s="3" t="n">
        <v>0</v>
      </c>
    </row>
    <row r="1179">
      <c r="A1179" t="inlineStr">
        <is>
          <t>Year 2030</t>
        </is>
      </c>
      <c r="B1179" t="inlineStr">
        <is>
          <t>C/92202</t>
        </is>
      </c>
      <c r="C1179" t="inlineStr">
        <is>
          <t>CF680C BIM</t>
        </is>
      </c>
      <c r="D1179" t="inlineStr">
        <is>
          <t>內部</t>
        </is>
      </c>
      <c r="E1179" t="inlineStr">
        <is>
          <t>內案</t>
        </is>
      </c>
      <c r="F1179" s="3" t="n">
        <v>0</v>
      </c>
      <c r="G1179" s="3" t="n">
        <v>0</v>
      </c>
      <c r="H1179" s="3" t="n">
        <v>0</v>
      </c>
      <c r="I1179" s="3" t="n">
        <v>0</v>
      </c>
      <c r="J1179" s="3" t="n">
        <v>0</v>
      </c>
    </row>
    <row r="1180">
      <c r="A1180" t="inlineStr">
        <is>
          <t>Year 2030</t>
        </is>
      </c>
      <c r="B1180" t="inlineStr">
        <is>
          <t>C/92203</t>
        </is>
      </c>
      <c r="C1180" t="inlineStr">
        <is>
          <t>N－WH BIM</t>
        </is>
      </c>
      <c r="D1180" t="inlineStr">
        <is>
          <t>內部</t>
        </is>
      </c>
      <c r="E1180" t="inlineStr">
        <is>
          <t>內案</t>
        </is>
      </c>
      <c r="F1180" s="3" t="n">
        <v>0</v>
      </c>
      <c r="G1180" s="3" t="n">
        <v>0</v>
      </c>
      <c r="H1180" s="3" t="n">
        <v>0</v>
      </c>
      <c r="I1180" s="3" t="n">
        <v>0</v>
      </c>
      <c r="J1180" s="3" t="n">
        <v>0</v>
      </c>
    </row>
    <row r="1181">
      <c r="A1181" t="inlineStr">
        <is>
          <t>Year 2030</t>
        </is>
      </c>
      <c r="B1181" t="inlineStr">
        <is>
          <t>C/92204</t>
        </is>
      </c>
      <c r="C1181" t="inlineStr">
        <is>
          <t>國揚吉林機電</t>
        </is>
      </c>
      <c r="D1181" t="inlineStr">
        <is>
          <t>內部</t>
        </is>
      </c>
      <c r="E1181" t="inlineStr">
        <is>
          <t>內案</t>
        </is>
      </c>
      <c r="F1181" s="3" t="n">
        <v>0</v>
      </c>
      <c r="G1181" s="3" t="n">
        <v>0</v>
      </c>
      <c r="H1181" s="3" t="n">
        <v>0</v>
      </c>
      <c r="I1181" s="3" t="n">
        <v>0</v>
      </c>
      <c r="J1181" s="3" t="n">
        <v>0</v>
      </c>
    </row>
    <row r="1182">
      <c r="A1182" t="inlineStr">
        <is>
          <t>Year 2030</t>
        </is>
      </c>
      <c r="B1182" t="inlineStr">
        <is>
          <t>C/92301</t>
        </is>
      </c>
      <c r="C1182" t="inlineStr">
        <is>
          <t>CF670A BIM 土木機電</t>
        </is>
      </c>
      <c r="D1182" t="inlineStr">
        <is>
          <t>內部</t>
        </is>
      </c>
      <c r="E1182" t="inlineStr">
        <is>
          <t>內案</t>
        </is>
      </c>
      <c r="F1182" s="3" t="n">
        <v>541875</v>
      </c>
      <c r="G1182" s="3" t="n">
        <v>62237</v>
      </c>
      <c r="H1182" s="3" t="n">
        <v>604112</v>
      </c>
      <c r="I1182" s="3" t="n">
        <v>0</v>
      </c>
      <c r="J1182" s="3" t="n">
        <v>468000</v>
      </c>
    </row>
    <row r="1183">
      <c r="A1183" t="inlineStr">
        <is>
          <t>Year 2030</t>
        </is>
      </c>
      <c r="B1183" t="inlineStr">
        <is>
          <t>C/92302</t>
        </is>
      </c>
      <c r="C1183" t="inlineStr">
        <is>
          <t>富邦忠孝懷生BIM機電</t>
        </is>
      </c>
      <c r="D1183" t="inlineStr">
        <is>
          <t>內部</t>
        </is>
      </c>
      <c r="E1183" t="inlineStr">
        <is>
          <t>內案</t>
        </is>
      </c>
      <c r="F1183" s="3" t="n">
        <v>0</v>
      </c>
      <c r="G1183" s="3" t="n">
        <v>0</v>
      </c>
      <c r="H1183" s="3" t="n">
        <v>0</v>
      </c>
      <c r="I1183" s="3" t="n">
        <v>0</v>
      </c>
      <c r="J1183" s="3" t="n">
        <v>0</v>
      </c>
    </row>
    <row r="1184">
      <c r="A1184" t="inlineStr">
        <is>
          <t>Year 2030</t>
        </is>
      </c>
      <c r="B1184" t="inlineStr">
        <is>
          <t>C/92303</t>
        </is>
      </c>
      <c r="C1184" t="inlineStr">
        <is>
          <t>信義兒福BIM機電</t>
        </is>
      </c>
      <c r="D1184" t="inlineStr">
        <is>
          <t>外部</t>
        </is>
      </c>
      <c r="E1184" t="inlineStr">
        <is>
          <t>外案</t>
        </is>
      </c>
      <c r="F1184" s="3" t="n">
        <v>0</v>
      </c>
      <c r="G1184" s="3" t="n">
        <v>0</v>
      </c>
      <c r="H1184" s="3" t="n">
        <v>0</v>
      </c>
      <c r="I1184" s="3" t="n">
        <v>0</v>
      </c>
      <c r="J1184" s="3" t="n">
        <v>0</v>
      </c>
    </row>
    <row r="1185">
      <c r="A1185" t="inlineStr">
        <is>
          <t>Year 2030</t>
        </is>
      </c>
      <c r="B1185" t="inlineStr">
        <is>
          <t>C/92304</t>
        </is>
      </c>
      <c r="C1185" t="inlineStr">
        <is>
          <t>捷運劍潭站TOD統包BIM機電</t>
        </is>
      </c>
      <c r="D1185" t="inlineStr">
        <is>
          <t>內部</t>
        </is>
      </c>
      <c r="E1185" t="inlineStr">
        <is>
          <t>內案</t>
        </is>
      </c>
      <c r="F1185" s="3" t="n">
        <v>0</v>
      </c>
      <c r="G1185" s="3" t="n">
        <v>0</v>
      </c>
      <c r="H1185" s="3" t="n">
        <v>0</v>
      </c>
      <c r="I1185" s="3" t="n">
        <v>0</v>
      </c>
      <c r="J1185" s="3" t="n">
        <v>0</v>
      </c>
    </row>
    <row r="1186">
      <c r="A1186" t="inlineStr">
        <is>
          <t>Year 2030</t>
        </is>
      </c>
      <c r="B1186" t="inlineStr">
        <is>
          <t>C/92401</t>
        </is>
      </c>
      <c r="C1186" t="inlineStr">
        <is>
          <t>CJ17 土木機電</t>
        </is>
      </c>
      <c r="D1186" t="inlineStr">
        <is>
          <t>內部</t>
        </is>
      </c>
      <c r="E1186" t="inlineStr">
        <is>
          <t>內案</t>
        </is>
      </c>
      <c r="F1186" s="3" t="n">
        <v>962325</v>
      </c>
      <c r="G1186" s="3" t="n">
        <v>465899</v>
      </c>
      <c r="H1186" s="3" t="n">
        <v>1428224</v>
      </c>
      <c r="I1186" s="3" t="n">
        <v>0</v>
      </c>
      <c r="J1186" s="3" t="n">
        <v>2170000</v>
      </c>
    </row>
    <row r="1187">
      <c r="A1187" t="inlineStr">
        <is>
          <t>Year 2030</t>
        </is>
      </c>
      <c r="B1187" t="inlineStr">
        <is>
          <t>C/92501</t>
        </is>
      </c>
      <c r="C1187" t="inlineStr">
        <is>
          <t>CF670 BIM土木機電</t>
        </is>
      </c>
      <c r="D1187" t="inlineStr">
        <is>
          <t>內部</t>
        </is>
      </c>
      <c r="E1187" t="inlineStr">
        <is>
          <t>內案</t>
        </is>
      </c>
      <c r="F1187" s="3" t="n">
        <v>2285189</v>
      </c>
      <c r="G1187" s="3" t="n">
        <v>1091269</v>
      </c>
      <c r="H1187" s="3" t="n">
        <v>3376458</v>
      </c>
      <c r="I1187" s="3" t="n">
        <v>0</v>
      </c>
      <c r="J1187" s="3" t="n">
        <v>3577750</v>
      </c>
    </row>
    <row r="1188">
      <c r="A1188" t="inlineStr">
        <is>
          <t>Year 2030</t>
        </is>
      </c>
      <c r="B1188" t="inlineStr">
        <is>
          <t>C/92502</t>
        </is>
      </c>
      <c r="C1188" t="inlineStr">
        <is>
          <t>擎邦-聯發科機電</t>
        </is>
      </c>
      <c r="D1188" t="inlineStr">
        <is>
          <t>外部</t>
        </is>
      </c>
      <c r="E1188" t="inlineStr">
        <is>
          <t>外案</t>
        </is>
      </c>
      <c r="F1188" s="3" t="n">
        <v>0</v>
      </c>
      <c r="G1188" s="3" t="n">
        <v>0</v>
      </c>
      <c r="H1188" s="3" t="n">
        <v>0</v>
      </c>
      <c r="I1188" s="3" t="n">
        <v>0</v>
      </c>
      <c r="J1188" s="3" t="n">
        <v>0</v>
      </c>
    </row>
    <row r="1189">
      <c r="A1189" t="inlineStr">
        <is>
          <t>Year 2030</t>
        </is>
      </c>
      <c r="B1189" t="inlineStr">
        <is>
          <t>C/92503</t>
        </is>
      </c>
      <c r="C1189" t="inlineStr">
        <is>
          <t>CF690B BIM土木</t>
        </is>
      </c>
      <c r="D1189" t="inlineStr">
        <is>
          <t>外部</t>
        </is>
      </c>
      <c r="E1189" t="inlineStr">
        <is>
          <t>外案</t>
        </is>
      </c>
      <c r="F1189" s="3" t="n">
        <v>1163262</v>
      </c>
      <c r="G1189" s="3" t="n">
        <v>485046</v>
      </c>
      <c r="H1189" s="3" t="n">
        <v>1648308</v>
      </c>
      <c r="I1189" s="3" t="n">
        <v>0</v>
      </c>
      <c r="J1189" s="3" t="n">
        <v>1151100</v>
      </c>
    </row>
    <row r="1190">
      <c r="A1190" t="inlineStr">
        <is>
          <t>Year 2030</t>
        </is>
      </c>
      <c r="B1190" t="inlineStr">
        <is>
          <t>C/92504</t>
        </is>
      </c>
      <c r="C1190" t="inlineStr">
        <is>
          <t>擎邦-員榮總醫院BIM</t>
        </is>
      </c>
      <c r="D1190" t="inlineStr">
        <is>
          <t>外部</t>
        </is>
      </c>
      <c r="E1190" t="inlineStr">
        <is>
          <t>外案</t>
        </is>
      </c>
      <c r="F1190" s="3" t="n">
        <v>0</v>
      </c>
      <c r="G1190" s="3" t="n">
        <v>0</v>
      </c>
      <c r="H1190" s="3" t="n">
        <v>0</v>
      </c>
      <c r="I1190" s="3" t="n">
        <v>0</v>
      </c>
      <c r="J1190" s="3" t="n">
        <v>0</v>
      </c>
    </row>
    <row r="1191">
      <c r="A1191" t="inlineStr">
        <is>
          <t>Year 2030</t>
        </is>
      </c>
      <c r="B1191" t="inlineStr">
        <is>
          <t>C/92601</t>
        </is>
      </c>
      <c r="C1191" t="inlineStr">
        <is>
          <t>擎邦-聯發科銅鑼</t>
        </is>
      </c>
      <c r="D1191" t="inlineStr">
        <is>
          <t>外部</t>
        </is>
      </c>
      <c r="E1191" t="inlineStr">
        <is>
          <t>外案</t>
        </is>
      </c>
      <c r="F1191" s="3" t="n">
        <v>0</v>
      </c>
      <c r="G1191" s="3" t="n">
        <v>0</v>
      </c>
      <c r="H1191" s="3" t="n">
        <v>0</v>
      </c>
      <c r="I1191" s="3" t="n">
        <v>0</v>
      </c>
      <c r="J1191" s="3" t="n">
        <v>0</v>
      </c>
    </row>
    <row r="1192">
      <c r="A1192" t="inlineStr">
        <is>
          <t>Year 2030</t>
        </is>
      </c>
      <c r="B1192" t="inlineStr">
        <is>
          <t>C/92602</t>
        </is>
      </c>
      <c r="C1192" t="inlineStr">
        <is>
          <t>擎邦-CF624F機電(CF690B機電)</t>
        </is>
      </c>
      <c r="D1192" t="inlineStr">
        <is>
          <t>外部</t>
        </is>
      </c>
      <c r="E1192" t="inlineStr">
        <is>
          <t>外案</t>
        </is>
      </c>
      <c r="F1192" s="3" t="n">
        <v>858516</v>
      </c>
      <c r="G1192" s="3" t="n">
        <v>400595</v>
      </c>
      <c r="H1192" s="3" t="n">
        <v>1259111</v>
      </c>
      <c r="I1192" s="3" t="n">
        <v>0</v>
      </c>
      <c r="J1192" s="3" t="n">
        <v>1482000</v>
      </c>
    </row>
    <row r="1193">
      <c r="A1193" t="inlineStr">
        <is>
          <t>Year 2030</t>
        </is>
      </c>
      <c r="B1193" t="inlineStr">
        <is>
          <t>C/92603</t>
        </is>
      </c>
      <c r="C1193" t="inlineStr">
        <is>
          <t>中華郵政信維機電</t>
        </is>
      </c>
      <c r="D1193" t="inlineStr">
        <is>
          <t>內部</t>
        </is>
      </c>
      <c r="E1193" t="inlineStr">
        <is>
          <t>內案</t>
        </is>
      </c>
      <c r="F1193" s="3" t="n">
        <v>1626275</v>
      </c>
      <c r="G1193" s="3" t="n">
        <v>798439</v>
      </c>
      <c r="H1193" s="3" t="n">
        <v>2424714</v>
      </c>
      <c r="I1193" s="3" t="n">
        <v>0</v>
      </c>
      <c r="J1193" s="3" t="n">
        <v>3061500</v>
      </c>
    </row>
    <row r="1194">
      <c r="A1194" t="inlineStr">
        <is>
          <t>Year 2030</t>
        </is>
      </c>
      <c r="B1194" t="inlineStr">
        <is>
          <t>C/91001_26</t>
        </is>
      </c>
      <c r="C1194" t="inlineStr">
        <is>
          <t>新取得BIM土木機電-26年</t>
        </is>
      </c>
      <c r="D1194" t="inlineStr">
        <is>
          <t>內部</t>
        </is>
      </c>
      <c r="E1194" t="inlineStr">
        <is>
          <t>內案</t>
        </is>
      </c>
      <c r="F1194" s="3" t="n">
        <v>0</v>
      </c>
      <c r="G1194" s="3" t="n">
        <v>0</v>
      </c>
      <c r="H1194" s="3" t="n">
        <v>0</v>
      </c>
      <c r="I1194" s="3" t="n">
        <v>0</v>
      </c>
      <c r="J1194" s="3" t="n">
        <v>0</v>
      </c>
    </row>
    <row r="1195">
      <c r="A1195" t="inlineStr">
        <is>
          <t>Year 2030</t>
        </is>
      </c>
      <c r="B1195" t="inlineStr">
        <is>
          <t>C/91000_27</t>
        </is>
      </c>
      <c r="C1195" t="inlineStr">
        <is>
          <t>新取得BIM土木機電-26年</t>
        </is>
      </c>
      <c r="D1195" t="inlineStr">
        <is>
          <t>內部</t>
        </is>
      </c>
      <c r="E1195" t="inlineStr">
        <is>
          <t>內案</t>
        </is>
      </c>
      <c r="F1195" s="3" t="n">
        <v>0</v>
      </c>
      <c r="G1195" s="3" t="n">
        <v>0</v>
      </c>
      <c r="H1195" s="3" t="n">
        <v>0</v>
      </c>
      <c r="I1195" s="3" t="n">
        <v>0</v>
      </c>
      <c r="J1195" s="3" t="n">
        <v>0</v>
      </c>
    </row>
    <row r="1196">
      <c r="A1196" t="inlineStr">
        <is>
          <t>Year 2030</t>
        </is>
      </c>
      <c r="B1196" t="inlineStr">
        <is>
          <t>C/91001_27</t>
        </is>
      </c>
      <c r="C1196" t="inlineStr">
        <is>
          <t>新取得BIM土木機電-27年</t>
        </is>
      </c>
      <c r="D1196" t="inlineStr">
        <is>
          <t>內部</t>
        </is>
      </c>
      <c r="E1196" t="inlineStr">
        <is>
          <t>內案</t>
        </is>
      </c>
      <c r="F1196" s="3" t="n">
        <v>6904300</v>
      </c>
      <c r="G1196" s="3" t="n">
        <v>3457053</v>
      </c>
      <c r="H1196" s="3" t="n">
        <v>10361353</v>
      </c>
      <c r="I1196" s="3" t="n">
        <v>0</v>
      </c>
      <c r="J1196" s="3" t="n">
        <v>7800000</v>
      </c>
    </row>
    <row r="1197">
      <c r="A1197" t="inlineStr">
        <is>
          <t>Year 2030</t>
        </is>
      </c>
      <c r="B1197" t="inlineStr">
        <is>
          <t>C/91002_27</t>
        </is>
      </c>
      <c r="C1197" t="inlineStr">
        <is>
          <t>新取得BIM土木機電-28年</t>
        </is>
      </c>
      <c r="D1197" t="inlineStr">
        <is>
          <t>內部</t>
        </is>
      </c>
      <c r="E1197" t="inlineStr">
        <is>
          <t>內案</t>
        </is>
      </c>
      <c r="F1197" s="3" t="n">
        <v>4262580</v>
      </c>
      <c r="G1197" s="3" t="n">
        <v>2088570</v>
      </c>
      <c r="H1197" s="3" t="n">
        <v>6351150</v>
      </c>
      <c r="I1197" s="3" t="n">
        <v>0</v>
      </c>
      <c r="J1197" s="3" t="n">
        <v>3900000</v>
      </c>
    </row>
    <row r="1198">
      <c r="A1198" t="inlineStr">
        <is>
          <t>Year 2030</t>
        </is>
      </c>
      <c r="B1198" t="inlineStr">
        <is>
          <t>C/91003_27</t>
        </is>
      </c>
      <c r="C1198" t="inlineStr">
        <is>
          <t>新取得BIM土木機電-29年</t>
        </is>
      </c>
      <c r="D1198" t="inlineStr">
        <is>
          <t>內部</t>
        </is>
      </c>
      <c r="E1198" t="inlineStr">
        <is>
          <t>內案</t>
        </is>
      </c>
      <c r="F1198" s="3" t="n">
        <v>4262580</v>
      </c>
      <c r="G1198" s="3" t="n">
        <v>2061482</v>
      </c>
      <c r="H1198" s="3" t="n">
        <v>6324062</v>
      </c>
      <c r="I1198" s="3" t="n">
        <v>0</v>
      </c>
      <c r="J1198" s="3" t="n">
        <v>7800000</v>
      </c>
    </row>
    <row r="1199">
      <c r="A1199" t="inlineStr">
        <is>
          <t>Year 2030</t>
        </is>
      </c>
      <c r="B1199" t="inlineStr">
        <is>
          <t>C/91004_27</t>
        </is>
      </c>
      <c r="C1199" t="inlineStr">
        <is>
          <t>新取得BIM土木機電-30年</t>
        </is>
      </c>
      <c r="D1199" t="inlineStr">
        <is>
          <t>內部</t>
        </is>
      </c>
      <c r="E1199" t="inlineStr">
        <is>
          <t>內案</t>
        </is>
      </c>
      <c r="F1199" s="3" t="n">
        <v>4182580</v>
      </c>
      <c r="G1199" s="3" t="n">
        <v>2026536</v>
      </c>
      <c r="H1199" s="3" t="n">
        <v>6209116</v>
      </c>
      <c r="I1199" s="3" t="n">
        <v>0</v>
      </c>
      <c r="J1199" s="3" t="n">
        <v>7800000</v>
      </c>
    </row>
    <row r="1200">
      <c r="A1200" t="inlineStr">
        <is>
          <t>Year 2030</t>
        </is>
      </c>
      <c r="B1200" t="inlineStr">
        <is>
          <t>C/91005_27</t>
        </is>
      </c>
      <c r="C1200" t="inlineStr">
        <is>
          <t>新取得BIM土木機電-31年</t>
        </is>
      </c>
      <c r="D1200" t="inlineStr">
        <is>
          <t>內部</t>
        </is>
      </c>
      <c r="E1200" t="inlineStr">
        <is>
          <t>內案</t>
        </is>
      </c>
      <c r="F1200" s="3" t="n">
        <v>0</v>
      </c>
      <c r="G1200" s="3" t="n">
        <v>0</v>
      </c>
      <c r="H1200" s="3" t="n">
        <v>0</v>
      </c>
      <c r="I1200" s="3" t="n">
        <v>0</v>
      </c>
      <c r="J1200" s="3" t="n">
        <v>0</v>
      </c>
    </row>
    <row r="1201">
      <c r="A1201" t="inlineStr">
        <is>
          <t>Year 2030</t>
        </is>
      </c>
      <c r="B1201" t="inlineStr">
        <is>
          <t>C/9210F</t>
        </is>
      </c>
      <c r="C1201" t="inlineStr">
        <is>
          <t>南港機廠BIM建築</t>
        </is>
      </c>
      <c r="D1201" t="inlineStr">
        <is>
          <t>外部</t>
        </is>
      </c>
      <c r="E1201" t="inlineStr">
        <is>
          <t>外案</t>
        </is>
      </c>
      <c r="F1201" s="3" t="n">
        <v>0</v>
      </c>
      <c r="G1201" s="3" t="n">
        <v>0</v>
      </c>
      <c r="H1201" s="3" t="n">
        <v>0</v>
      </c>
      <c r="I1201" s="3" t="n">
        <v>0</v>
      </c>
      <c r="J1201" s="3" t="n">
        <v>0</v>
      </c>
    </row>
    <row r="1202">
      <c r="A1202" t="inlineStr">
        <is>
          <t>Year 2030</t>
        </is>
      </c>
      <c r="B1202" t="inlineStr">
        <is>
          <t>C/9210G</t>
        </is>
      </c>
      <c r="C1202" t="inlineStr">
        <is>
          <t>富邦忠孝懷生BIM建築</t>
        </is>
      </c>
      <c r="D1202" t="inlineStr">
        <is>
          <t>內部</t>
        </is>
      </c>
      <c r="E1202" t="inlineStr">
        <is>
          <t>內案</t>
        </is>
      </c>
      <c r="F1202" s="3" t="n">
        <v>0</v>
      </c>
      <c r="G1202" s="3" t="n">
        <v>0</v>
      </c>
      <c r="H1202" s="3" t="n">
        <v>0</v>
      </c>
      <c r="I1202" s="3" t="n">
        <v>0</v>
      </c>
      <c r="J1202" s="3" t="n">
        <v>0</v>
      </c>
    </row>
    <row r="1203">
      <c r="A1203" t="inlineStr">
        <is>
          <t>Year 2030</t>
        </is>
      </c>
      <c r="B1203" t="inlineStr">
        <is>
          <t>C/9220E</t>
        </is>
      </c>
      <c r="C1203" t="inlineStr">
        <is>
          <t>柏鴻北士科 C/9100A-22A</t>
        </is>
      </c>
      <c r="D1203" t="inlineStr">
        <is>
          <t>內部</t>
        </is>
      </c>
      <c r="E1203" t="inlineStr">
        <is>
          <t>內案</t>
        </is>
      </c>
      <c r="F1203" s="3" t="n">
        <v>0</v>
      </c>
      <c r="G1203" s="3" t="n">
        <v>0</v>
      </c>
      <c r="H1203" s="3" t="n">
        <v>0</v>
      </c>
      <c r="I1203" s="3" t="n">
        <v>0</v>
      </c>
      <c r="J1203" s="3" t="n">
        <v>0</v>
      </c>
    </row>
    <row r="1204">
      <c r="A1204" t="inlineStr">
        <is>
          <t>Year 2030</t>
        </is>
      </c>
      <c r="B1204" t="inlineStr">
        <is>
          <t>C/9230A</t>
        </is>
      </c>
      <c r="C1204" t="inlineStr">
        <is>
          <t>信義兒福BIM建築</t>
        </is>
      </c>
      <c r="D1204" t="inlineStr">
        <is>
          <t>外部</t>
        </is>
      </c>
      <c r="E1204" t="inlineStr">
        <is>
          <t>外案</t>
        </is>
      </c>
      <c r="F1204" s="3" t="n">
        <v>0</v>
      </c>
      <c r="G1204" s="3" t="n">
        <v>0</v>
      </c>
      <c r="H1204" s="3" t="n">
        <v>0</v>
      </c>
      <c r="I1204" s="3" t="n">
        <v>0</v>
      </c>
      <c r="J1204" s="3" t="n">
        <v>1059500</v>
      </c>
    </row>
    <row r="1205">
      <c r="A1205" t="inlineStr">
        <is>
          <t>Year 2030</t>
        </is>
      </c>
      <c r="B1205" t="inlineStr">
        <is>
          <t>C/9230B</t>
        </is>
      </c>
      <c r="C1205" t="inlineStr">
        <is>
          <t>北捷劍潭TOD</t>
        </is>
      </c>
      <c r="D1205" t="inlineStr">
        <is>
          <t>內部</t>
        </is>
      </c>
      <c r="E1205" t="inlineStr">
        <is>
          <t>內案</t>
        </is>
      </c>
      <c r="F1205" s="3" t="n">
        <v>0</v>
      </c>
      <c r="G1205" s="3" t="n">
        <v>0</v>
      </c>
      <c r="H1205" s="3" t="n">
        <v>0</v>
      </c>
      <c r="I1205" s="3" t="n">
        <v>0</v>
      </c>
      <c r="J1205" s="3" t="n">
        <v>0</v>
      </c>
    </row>
    <row r="1206">
      <c r="A1206" t="inlineStr">
        <is>
          <t>Year 2030</t>
        </is>
      </c>
      <c r="B1206" t="inlineStr">
        <is>
          <t>C/9230C</t>
        </is>
      </c>
      <c r="C1206" t="inlineStr">
        <is>
          <t>慶城福華-23年</t>
        </is>
      </c>
      <c r="D1206" t="inlineStr">
        <is>
          <t>內部</t>
        </is>
      </c>
      <c r="E1206" t="inlineStr">
        <is>
          <t>內案</t>
        </is>
      </c>
      <c r="F1206" s="3" t="n">
        <v>0</v>
      </c>
      <c r="G1206" s="3" t="n">
        <v>0</v>
      </c>
      <c r="H1206" s="3" t="n">
        <v>0</v>
      </c>
      <c r="I1206" s="3" t="n">
        <v>0</v>
      </c>
      <c r="J1206" s="3" t="n">
        <v>0</v>
      </c>
    </row>
    <row r="1207">
      <c r="A1207" t="inlineStr">
        <is>
          <t>Year 2030</t>
        </is>
      </c>
      <c r="B1207" t="inlineStr">
        <is>
          <t>C/9240A</t>
        </is>
      </c>
      <c r="C1207" t="inlineStr">
        <is>
          <t>南港國際一</t>
        </is>
      </c>
      <c r="D1207" t="inlineStr">
        <is>
          <t>內部</t>
        </is>
      </c>
      <c r="E1207" t="inlineStr">
        <is>
          <t>內案</t>
        </is>
      </c>
      <c r="F1207" s="3" t="n">
        <v>0</v>
      </c>
      <c r="G1207" s="3" t="n">
        <v>0</v>
      </c>
      <c r="H1207" s="3" t="n">
        <v>0</v>
      </c>
      <c r="I1207" s="3" t="n">
        <v>0</v>
      </c>
      <c r="J1207" s="3" t="n">
        <v>0</v>
      </c>
    </row>
    <row r="1208">
      <c r="A1208" t="inlineStr">
        <is>
          <t>Year 2030</t>
        </is>
      </c>
      <c r="B1208" t="inlineStr">
        <is>
          <t>C/9240B</t>
        </is>
      </c>
      <c r="C1208" t="inlineStr">
        <is>
          <t xml:space="preserve">台中洲際BIM建築 </t>
        </is>
      </c>
      <c r="D1208" t="inlineStr">
        <is>
          <t>內部</t>
        </is>
      </c>
      <c r="E1208" t="inlineStr">
        <is>
          <t>內案</t>
        </is>
      </c>
      <c r="F1208" s="3" t="n">
        <v>0</v>
      </c>
      <c r="G1208" s="3" t="n">
        <v>0</v>
      </c>
      <c r="H1208" s="3" t="n">
        <v>0</v>
      </c>
      <c r="I1208" s="3" t="n">
        <v>0</v>
      </c>
      <c r="J1208" s="3" t="n">
        <v>0</v>
      </c>
    </row>
    <row r="1209">
      <c r="A1209" t="inlineStr">
        <is>
          <t>Year 2030</t>
        </is>
      </c>
      <c r="B1209" t="inlineStr">
        <is>
          <t>C/9240C</t>
        </is>
      </c>
      <c r="C1209" t="inlineStr">
        <is>
          <t xml:space="preserve">大直金泰BIM建築 </t>
        </is>
      </c>
      <c r="D1209" t="inlineStr">
        <is>
          <t>內部</t>
        </is>
      </c>
      <c r="E1209" t="inlineStr">
        <is>
          <t>內案</t>
        </is>
      </c>
      <c r="F1209" s="3" t="n">
        <v>0</v>
      </c>
      <c r="G1209" s="3" t="n">
        <v>0</v>
      </c>
      <c r="H1209" s="3" t="n">
        <v>0</v>
      </c>
      <c r="I1209" s="3" t="n">
        <v>0</v>
      </c>
      <c r="J1209" s="3" t="n">
        <v>0</v>
      </c>
    </row>
    <row r="1210">
      <c r="A1210" t="inlineStr">
        <is>
          <t>Year 2030</t>
        </is>
      </c>
      <c r="B1210" t="inlineStr">
        <is>
          <t>C/9240D</t>
        </is>
      </c>
      <c r="C1210" t="inlineStr">
        <is>
          <t xml:space="preserve">板橋新雅BIM建築 </t>
        </is>
      </c>
      <c r="D1210" t="inlineStr">
        <is>
          <t>內部</t>
        </is>
      </c>
      <c r="E1210" t="inlineStr">
        <is>
          <t>內案</t>
        </is>
      </c>
      <c r="F1210" s="3" t="n">
        <v>0</v>
      </c>
      <c r="G1210" s="3" t="n">
        <v>0</v>
      </c>
      <c r="H1210" s="3" t="n">
        <v>0</v>
      </c>
      <c r="I1210" s="3" t="n">
        <v>0</v>
      </c>
      <c r="J1210" s="3" t="n">
        <v>0</v>
      </c>
    </row>
    <row r="1211">
      <c r="A1211" t="inlineStr">
        <is>
          <t>Year 2030</t>
        </is>
      </c>
      <c r="B1211" t="inlineStr">
        <is>
          <t>C/9240E</t>
        </is>
      </c>
      <c r="C1211" t="inlineStr">
        <is>
          <t xml:space="preserve">板橋四維BIM建築 </t>
        </is>
      </c>
      <c r="D1211" t="inlineStr">
        <is>
          <t>內部</t>
        </is>
      </c>
      <c r="E1211" t="inlineStr">
        <is>
          <t>內案</t>
        </is>
      </c>
      <c r="F1211" s="3" t="n">
        <v>0</v>
      </c>
      <c r="G1211" s="3" t="n">
        <v>0</v>
      </c>
      <c r="H1211" s="3" t="n">
        <v>0</v>
      </c>
      <c r="I1211" s="3" t="n">
        <v>0</v>
      </c>
      <c r="J1211" s="3" t="n">
        <v>0</v>
      </c>
    </row>
    <row r="1212">
      <c r="A1212" t="inlineStr">
        <is>
          <t>Year 2030</t>
        </is>
      </c>
      <c r="B1212" t="inlineStr">
        <is>
          <t>C/9240F</t>
        </is>
      </c>
      <c r="C1212" t="inlineStr">
        <is>
          <t>台中新美齊</t>
        </is>
      </c>
      <c r="D1212" t="inlineStr">
        <is>
          <t>內部</t>
        </is>
      </c>
      <c r="E1212" t="inlineStr">
        <is>
          <t>內案</t>
        </is>
      </c>
      <c r="F1212" s="3" t="n">
        <v>0</v>
      </c>
      <c r="G1212" s="3" t="n">
        <v>0</v>
      </c>
      <c r="H1212" s="3" t="n">
        <v>0</v>
      </c>
      <c r="I1212" s="3" t="n">
        <v>0</v>
      </c>
      <c r="J1212" s="3" t="n">
        <v>0</v>
      </c>
    </row>
    <row r="1213">
      <c r="A1213" t="inlineStr">
        <is>
          <t>Year 2030</t>
        </is>
      </c>
      <c r="B1213" t="inlineStr">
        <is>
          <t>C/9240G</t>
        </is>
      </c>
      <c r="C1213" t="inlineStr">
        <is>
          <t>晨禎片片山閑</t>
        </is>
      </c>
      <c r="D1213" t="inlineStr">
        <is>
          <t>外部</t>
        </is>
      </c>
      <c r="E1213" t="inlineStr">
        <is>
          <t>外案</t>
        </is>
      </c>
      <c r="F1213" s="3" t="n">
        <v>0</v>
      </c>
      <c r="G1213" s="3" t="n">
        <v>0</v>
      </c>
      <c r="H1213" s="3" t="n">
        <v>0</v>
      </c>
      <c r="I1213" s="3" t="n">
        <v>0</v>
      </c>
      <c r="J1213" s="3" t="n">
        <v>0</v>
      </c>
    </row>
    <row r="1214">
      <c r="A1214" t="inlineStr">
        <is>
          <t>Year 2030</t>
        </is>
      </c>
      <c r="B1214" t="inlineStr">
        <is>
          <t>C/9250A</t>
        </is>
      </c>
      <c r="C1214" t="inlineStr">
        <is>
          <t>南機二區BIM服務</t>
        </is>
      </c>
      <c r="D1214" t="inlineStr">
        <is>
          <t>內部</t>
        </is>
      </c>
      <c r="E1214" t="inlineStr">
        <is>
          <t>內案</t>
        </is>
      </c>
      <c r="F1214" s="3" t="n">
        <v>1169252</v>
      </c>
      <c r="G1214" s="3" t="n">
        <v>290383</v>
      </c>
      <c r="H1214" s="3" t="n">
        <v>1459635</v>
      </c>
      <c r="I1214" s="3" t="n">
        <v>0</v>
      </c>
      <c r="J1214" s="3" t="n">
        <v>1109999.999999999</v>
      </c>
    </row>
    <row r="1215">
      <c r="A1215" t="inlineStr">
        <is>
          <t>Year 2030</t>
        </is>
      </c>
      <c r="B1215" t="inlineStr">
        <is>
          <t>C/9250B</t>
        </is>
      </c>
      <c r="C1215" t="inlineStr">
        <is>
          <t>璞真南港總部</t>
        </is>
      </c>
      <c r="D1215" t="inlineStr">
        <is>
          <t>內部</t>
        </is>
      </c>
      <c r="E1215" t="inlineStr">
        <is>
          <t>內案</t>
        </is>
      </c>
      <c r="F1215" s="3" t="n">
        <v>0</v>
      </c>
      <c r="G1215" s="3" t="n">
        <v>0</v>
      </c>
      <c r="H1215" s="3" t="n">
        <v>0</v>
      </c>
      <c r="I1215" s="3" t="n">
        <v>0</v>
      </c>
      <c r="J1215" s="3" t="n">
        <v>0</v>
      </c>
    </row>
    <row r="1216">
      <c r="A1216" t="inlineStr">
        <is>
          <t>Year 2030</t>
        </is>
      </c>
      <c r="B1216" t="inlineStr">
        <is>
          <t>C/9250C</t>
        </is>
      </c>
      <c r="C1216" t="inlineStr">
        <is>
          <t>築源南港</t>
        </is>
      </c>
      <c r="D1216" t="inlineStr">
        <is>
          <t>內部</t>
        </is>
      </c>
      <c r="E1216" t="inlineStr">
        <is>
          <t>內案</t>
        </is>
      </c>
      <c r="F1216" s="3" t="n">
        <v>0</v>
      </c>
      <c r="G1216" s="3" t="n">
        <v>0</v>
      </c>
      <c r="H1216" s="3" t="n">
        <v>0</v>
      </c>
      <c r="I1216" s="3" t="n">
        <v>0</v>
      </c>
      <c r="J1216" s="3" t="n">
        <v>0</v>
      </c>
    </row>
    <row r="1217">
      <c r="A1217" t="inlineStr">
        <is>
          <t>Year 2030</t>
        </is>
      </c>
      <c r="B1217" t="inlineStr">
        <is>
          <t>C/9250D</t>
        </is>
      </c>
      <c r="C1217" t="inlineStr">
        <is>
          <t>南港三重</t>
        </is>
      </c>
      <c r="D1217" t="inlineStr">
        <is>
          <t>內部</t>
        </is>
      </c>
      <c r="E1217" t="inlineStr">
        <is>
          <t>內案</t>
        </is>
      </c>
      <c r="F1217" s="3" t="n">
        <v>0</v>
      </c>
      <c r="G1217" s="3" t="n">
        <v>0</v>
      </c>
      <c r="H1217" s="3" t="n">
        <v>0</v>
      </c>
      <c r="I1217" s="3" t="n">
        <v>0</v>
      </c>
      <c r="J1217" s="3" t="n">
        <v>0</v>
      </c>
    </row>
    <row r="1218">
      <c r="A1218" t="inlineStr">
        <is>
          <t>Year 2030</t>
        </is>
      </c>
      <c r="B1218" t="inlineStr">
        <is>
          <t>C/9260A</t>
        </is>
      </c>
      <c r="C1218" t="inlineStr">
        <is>
          <t>台中楓溪</t>
        </is>
      </c>
      <c r="D1218" t="inlineStr">
        <is>
          <t>內部</t>
        </is>
      </c>
      <c r="E1218" t="inlineStr">
        <is>
          <t>內案</t>
        </is>
      </c>
      <c r="F1218" s="3" t="n">
        <v>0</v>
      </c>
      <c r="G1218" s="3" t="n">
        <v>0</v>
      </c>
      <c r="H1218" s="3" t="n">
        <v>0</v>
      </c>
      <c r="I1218" s="3" t="n">
        <v>0</v>
      </c>
      <c r="J1218" s="3" t="n">
        <v>0</v>
      </c>
    </row>
    <row r="1219">
      <c r="A1219" t="inlineStr">
        <is>
          <t>Year 2030</t>
        </is>
      </c>
      <c r="B1219" t="inlineStr">
        <is>
          <t>C/9260B</t>
        </is>
      </c>
      <c r="C1219" t="inlineStr">
        <is>
          <t>樺輝永鑄</t>
        </is>
      </c>
      <c r="D1219" t="inlineStr">
        <is>
          <t>內部</t>
        </is>
      </c>
      <c r="E1219" t="inlineStr">
        <is>
          <t>內案</t>
        </is>
      </c>
      <c r="F1219" s="3" t="n">
        <v>0</v>
      </c>
      <c r="G1219" s="3" t="n">
        <v>0</v>
      </c>
      <c r="H1219" s="3" t="n">
        <v>0</v>
      </c>
      <c r="I1219" s="3" t="n">
        <v>0</v>
      </c>
      <c r="J1219" s="3" t="n">
        <v>0</v>
      </c>
    </row>
    <row r="1220">
      <c r="A1220" t="inlineStr">
        <is>
          <t>Year 2030</t>
        </is>
      </c>
      <c r="B1220" t="inlineStr">
        <is>
          <t>C/9260C</t>
        </is>
      </c>
      <c r="C1220" t="inlineStr">
        <is>
          <t>中華郵政信維</t>
        </is>
      </c>
      <c r="D1220" t="inlineStr">
        <is>
          <t>內部</t>
        </is>
      </c>
      <c r="E1220" t="inlineStr">
        <is>
          <t>內案</t>
        </is>
      </c>
      <c r="F1220" s="3" t="n">
        <v>230296</v>
      </c>
      <c r="G1220" s="3" t="n">
        <v>99484</v>
      </c>
      <c r="H1220" s="3" t="n">
        <v>329780</v>
      </c>
      <c r="I1220" s="3" t="n">
        <v>0</v>
      </c>
      <c r="J1220" s="3" t="n">
        <v>490166.9999999996</v>
      </c>
    </row>
    <row r="1221">
      <c r="A1221" t="inlineStr">
        <is>
          <t>Year 2030</t>
        </is>
      </c>
      <c r="B1221" t="inlineStr">
        <is>
          <t>C/9260D</t>
        </is>
      </c>
      <c r="C1221" t="inlineStr">
        <is>
          <t>大安復興</t>
        </is>
      </c>
      <c r="D1221" t="inlineStr">
        <is>
          <t>內部</t>
        </is>
      </c>
      <c r="E1221" t="inlineStr">
        <is>
          <t>內案</t>
        </is>
      </c>
      <c r="F1221" s="3" t="n">
        <v>0</v>
      </c>
      <c r="G1221" s="3" t="n">
        <v>0</v>
      </c>
      <c r="H1221" s="3" t="n">
        <v>0</v>
      </c>
      <c r="I1221" s="3" t="n">
        <v>0</v>
      </c>
      <c r="J1221" s="3" t="n">
        <v>0</v>
      </c>
    </row>
    <row r="1222">
      <c r="A1222" t="inlineStr">
        <is>
          <t>Year 2030</t>
        </is>
      </c>
      <c r="B1222" t="inlineStr">
        <is>
          <t>C/9100B_26</t>
        </is>
      </c>
      <c r="C1222" t="inlineStr">
        <is>
          <t>新取得BIM建築-26年</t>
        </is>
      </c>
      <c r="D1222" t="inlineStr">
        <is>
          <t>內部</t>
        </is>
      </c>
      <c r="E1222" t="inlineStr">
        <is>
          <t>內案</t>
        </is>
      </c>
      <c r="F1222" s="3" t="n">
        <v>0</v>
      </c>
      <c r="G1222" s="3" t="n">
        <v>0</v>
      </c>
      <c r="H1222" s="3" t="n">
        <v>0</v>
      </c>
      <c r="I1222" s="3" t="n">
        <v>0</v>
      </c>
      <c r="J1222" s="3" t="n">
        <v>0</v>
      </c>
    </row>
    <row r="1223">
      <c r="A1223" t="inlineStr">
        <is>
          <t>Year 2030</t>
        </is>
      </c>
      <c r="B1223" t="inlineStr">
        <is>
          <t>C/9100A_27</t>
        </is>
      </c>
      <c r="C1223" t="inlineStr">
        <is>
          <t>新取得BIM建築-26年</t>
        </is>
      </c>
      <c r="D1223" t="inlineStr">
        <is>
          <t>內部</t>
        </is>
      </c>
      <c r="E1223" t="inlineStr">
        <is>
          <t>內案</t>
        </is>
      </c>
      <c r="F1223" s="3" t="n">
        <v>0</v>
      </c>
      <c r="G1223" s="3" t="n">
        <v>0</v>
      </c>
      <c r="H1223" s="3" t="n">
        <v>0</v>
      </c>
      <c r="I1223" s="3" t="n">
        <v>0</v>
      </c>
      <c r="J1223" s="3" t="n">
        <v>0</v>
      </c>
    </row>
    <row r="1224">
      <c r="A1224" t="inlineStr">
        <is>
          <t>Year 2030</t>
        </is>
      </c>
      <c r="B1224" t="inlineStr">
        <is>
          <t>C/9100B_27</t>
        </is>
      </c>
      <c r="C1224" t="inlineStr">
        <is>
          <t>新取得BIM建築-27年</t>
        </is>
      </c>
      <c r="D1224" t="inlineStr">
        <is>
          <t>內部</t>
        </is>
      </c>
      <c r="E1224" t="inlineStr">
        <is>
          <t>內案</t>
        </is>
      </c>
      <c r="F1224" s="3" t="n">
        <v>4186987</v>
      </c>
      <c r="G1224" s="3" t="n">
        <v>1584828</v>
      </c>
      <c r="H1224" s="3" t="n">
        <v>5771815</v>
      </c>
      <c r="I1224" s="3" t="n">
        <v>0</v>
      </c>
      <c r="J1224" s="3" t="n">
        <v>5429000</v>
      </c>
    </row>
    <row r="1225">
      <c r="A1225" t="inlineStr">
        <is>
          <t>Year 2030</t>
        </is>
      </c>
      <c r="B1225" t="inlineStr">
        <is>
          <t>C/9100C_27</t>
        </is>
      </c>
      <c r="C1225" t="inlineStr">
        <is>
          <t>新取得BIM建築-28年</t>
        </is>
      </c>
      <c r="D1225" t="inlineStr">
        <is>
          <t>內部</t>
        </is>
      </c>
      <c r="E1225" t="inlineStr">
        <is>
          <t>內案</t>
        </is>
      </c>
      <c r="F1225" s="3" t="n">
        <v>6988689</v>
      </c>
      <c r="G1225" s="3" t="n">
        <v>2635263</v>
      </c>
      <c r="H1225" s="3" t="n">
        <v>9623952</v>
      </c>
      <c r="I1225" s="3" t="n">
        <v>0</v>
      </c>
      <c r="J1225" s="3" t="n">
        <v>9564000</v>
      </c>
    </row>
    <row r="1226">
      <c r="A1226" t="inlineStr">
        <is>
          <t>Year 2030</t>
        </is>
      </c>
      <c r="B1226" t="inlineStr">
        <is>
          <t>C/9100D_27</t>
        </is>
      </c>
      <c r="C1226" t="inlineStr">
        <is>
          <t>新取得BIM建築-29年</t>
        </is>
      </c>
      <c r="D1226" t="inlineStr">
        <is>
          <t>內部</t>
        </is>
      </c>
      <c r="E1226" t="inlineStr">
        <is>
          <t>內案</t>
        </is>
      </c>
      <c r="F1226" s="3" t="n">
        <v>7288688</v>
      </c>
      <c r="G1226" s="3" t="n">
        <v>2770213</v>
      </c>
      <c r="H1226" s="3" t="n">
        <v>10058901</v>
      </c>
      <c r="I1226" s="3" t="n">
        <v>0</v>
      </c>
      <c r="J1226" s="3" t="n">
        <v>9814000</v>
      </c>
    </row>
    <row r="1227">
      <c r="A1227" t="inlineStr">
        <is>
          <t>Year 2030</t>
        </is>
      </c>
      <c r="B1227" t="inlineStr">
        <is>
          <t>C/9100E_27</t>
        </is>
      </c>
      <c r="C1227" t="inlineStr">
        <is>
          <t>新取得BIM建築-30年</t>
        </is>
      </c>
      <c r="D1227" t="inlineStr">
        <is>
          <t>內部</t>
        </is>
      </c>
      <c r="E1227" t="inlineStr">
        <is>
          <t>內案</t>
        </is>
      </c>
      <c r="F1227" s="3" t="n">
        <v>8548364</v>
      </c>
      <c r="G1227" s="3" t="n">
        <v>3101905</v>
      </c>
      <c r="H1227" s="3" t="n">
        <v>11650269</v>
      </c>
      <c r="I1227" s="3" t="n">
        <v>0</v>
      </c>
      <c r="J1227" s="3" t="n">
        <v>11879000</v>
      </c>
    </row>
    <row r="1228">
      <c r="A1228" t="inlineStr">
        <is>
          <t>Year 2030</t>
        </is>
      </c>
      <c r="B1228" t="inlineStr">
        <is>
          <t>C/9100F_27</t>
        </is>
      </c>
      <c r="C1228" t="inlineStr">
        <is>
          <t>新取得BIM建築-31年</t>
        </is>
      </c>
      <c r="D1228" t="inlineStr">
        <is>
          <t>內部</t>
        </is>
      </c>
      <c r="E1228" t="inlineStr">
        <is>
          <t>內案</t>
        </is>
      </c>
      <c r="F1228" s="3" t="n">
        <v>0</v>
      </c>
      <c r="G1228" s="3" t="n">
        <v>0</v>
      </c>
      <c r="H1228" s="3" t="n">
        <v>0</v>
      </c>
      <c r="I1228" s="3" t="n">
        <v>0</v>
      </c>
      <c r="J1228" s="3" t="n">
        <v>0</v>
      </c>
    </row>
    <row r="1229">
      <c r="A1229" t="inlineStr">
        <is>
          <t>Year 2030</t>
        </is>
      </c>
      <c r="B1229" t="inlineStr">
        <is>
          <t>C/99992</t>
        </is>
      </c>
      <c r="C1229" t="inlineStr">
        <is>
          <t>雜項BIM土木機電</t>
        </is>
      </c>
      <c r="D1229" t="inlineStr">
        <is>
          <t>內/無</t>
        </is>
      </c>
      <c r="E1229" t="inlineStr">
        <is>
          <t>雜項</t>
        </is>
      </c>
      <c r="F1229" s="3" t="n">
        <v>316840</v>
      </c>
      <c r="G1229" s="3" t="n">
        <v>1280660</v>
      </c>
      <c r="H1229" s="3" t="n">
        <v>1597500</v>
      </c>
      <c r="I1229" s="3" t="n">
        <v>0</v>
      </c>
      <c r="J1229" s="3" t="n">
        <v>1597500</v>
      </c>
    </row>
    <row r="1230">
      <c r="A1230" t="inlineStr">
        <is>
          <t>Year 2030</t>
        </is>
      </c>
      <c r="B1230" t="inlineStr">
        <is>
          <t>C/99992-1</t>
        </is>
      </c>
      <c r="C1230" t="inlineStr">
        <is>
          <t>雜項BIM土木機電(外案收入)</t>
        </is>
      </c>
      <c r="D1230" t="inlineStr">
        <is>
          <t>外部</t>
        </is>
      </c>
      <c r="E1230" t="inlineStr">
        <is>
          <t>外案</t>
        </is>
      </c>
      <c r="F1230" s="3" t="n">
        <v>0</v>
      </c>
      <c r="G1230" s="3" t="n">
        <v>0</v>
      </c>
      <c r="H1230" s="3" t="n">
        <v>0</v>
      </c>
      <c r="I1230" s="3" t="n">
        <v>0</v>
      </c>
      <c r="J1230" s="3" t="n">
        <v>0</v>
      </c>
    </row>
    <row r="1231">
      <c r="A1231" t="inlineStr">
        <is>
          <t>Year 2030</t>
        </is>
      </c>
      <c r="B1231" t="inlineStr">
        <is>
          <t>C/99993</t>
        </is>
      </c>
      <c r="C1231" t="inlineStr">
        <is>
          <t>備標BIM土木機電</t>
        </is>
      </c>
      <c r="D1231" t="inlineStr">
        <is>
          <t>備標</t>
        </is>
      </c>
      <c r="E1231" t="inlineStr">
        <is>
          <t>備標</t>
        </is>
      </c>
      <c r="F1231" s="3" t="n">
        <v>0</v>
      </c>
      <c r="G1231" s="3" t="n">
        <v>0</v>
      </c>
      <c r="H1231" s="3" t="n">
        <v>0</v>
      </c>
      <c r="I1231" s="3" t="n">
        <v>0</v>
      </c>
      <c r="J1231" s="3" t="n">
        <v>0</v>
      </c>
    </row>
    <row r="1232">
      <c r="A1232" t="inlineStr">
        <is>
          <t>Year 2030</t>
        </is>
      </c>
      <c r="B1232" t="inlineStr">
        <is>
          <t>C/9999B</t>
        </is>
      </c>
      <c r="C1232" t="inlineStr">
        <is>
          <t>雜項BIM建築</t>
        </is>
      </c>
      <c r="D1232" t="inlineStr">
        <is>
          <t>內/無</t>
        </is>
      </c>
      <c r="E1232" t="inlineStr">
        <is>
          <t>雜項</t>
        </is>
      </c>
      <c r="F1232" s="3" t="n">
        <v>0</v>
      </c>
      <c r="G1232" s="3" t="n">
        <v>0</v>
      </c>
      <c r="H1232" s="3" t="n">
        <v>0</v>
      </c>
      <c r="I1232" s="3" t="n">
        <v>0</v>
      </c>
      <c r="J1232" s="3" t="n">
        <v>0</v>
      </c>
    </row>
    <row r="1233">
      <c r="A1233" t="inlineStr">
        <is>
          <t>Year 2030</t>
        </is>
      </c>
      <c r="B1233" t="inlineStr">
        <is>
          <t>C/9999D</t>
        </is>
      </c>
      <c r="C1233" t="inlineStr">
        <is>
          <t>備標BIM建築</t>
        </is>
      </c>
      <c r="D1233" t="inlineStr">
        <is>
          <t>備標</t>
        </is>
      </c>
      <c r="E1233" t="inlineStr">
        <is>
          <t>備標</t>
        </is>
      </c>
      <c r="F1233" s="3" t="n">
        <v>0</v>
      </c>
      <c r="G1233" s="3" t="n">
        <v>0</v>
      </c>
      <c r="H1233" s="3" t="n">
        <v>0</v>
      </c>
      <c r="I1233" s="3" t="n">
        <v>0</v>
      </c>
      <c r="J1233" s="3" t="n">
        <v>0</v>
      </c>
    </row>
    <row r="1234">
      <c r="A1234" t="inlineStr">
        <is>
          <t>累計 Year 2030</t>
        </is>
      </c>
      <c r="B1234" t="inlineStr">
        <is>
          <t>C/92103</t>
        </is>
      </c>
      <c r="C1234" t="inlineStr">
        <is>
          <t>CQ840 BIM</t>
        </is>
      </c>
      <c r="D1234" t="inlineStr">
        <is>
          <t>內部</t>
        </is>
      </c>
      <c r="E1234" t="inlineStr">
        <is>
          <t>內案</t>
        </is>
      </c>
      <c r="F1234" s="3" t="n">
        <v>1966785</v>
      </c>
      <c r="G1234" s="3" t="n">
        <v>-334392</v>
      </c>
      <c r="H1234" s="3" t="n">
        <v>1632393</v>
      </c>
      <c r="I1234" s="3" t="n">
        <v>0</v>
      </c>
      <c r="J1234" s="3" t="n">
        <v>1632393</v>
      </c>
    </row>
    <row r="1235">
      <c r="A1235" t="inlineStr">
        <is>
          <t>累計 Year 2030</t>
        </is>
      </c>
      <c r="B1235" t="inlineStr">
        <is>
          <t>C/92202</t>
        </is>
      </c>
      <c r="C1235" t="inlineStr">
        <is>
          <t>CF680C BIM</t>
        </is>
      </c>
      <c r="D1235" t="inlineStr">
        <is>
          <t>內部</t>
        </is>
      </c>
      <c r="E1235" t="inlineStr">
        <is>
          <t>內案</t>
        </is>
      </c>
      <c r="F1235" s="3" t="n">
        <v>16733307</v>
      </c>
      <c r="G1235" s="3" t="n">
        <v>8046693</v>
      </c>
      <c r="H1235" s="3" t="n">
        <v>24780000</v>
      </c>
      <c r="I1235" s="3" t="n">
        <v>0</v>
      </c>
      <c r="J1235" s="3" t="n">
        <v>24780000</v>
      </c>
    </row>
    <row r="1236">
      <c r="A1236" t="inlineStr">
        <is>
          <t>累計 Year 2030</t>
        </is>
      </c>
      <c r="B1236" t="inlineStr">
        <is>
          <t>C/92203</t>
        </is>
      </c>
      <c r="C1236" t="inlineStr">
        <is>
          <t>N－WH BIM</t>
        </is>
      </c>
      <c r="D1236" t="inlineStr">
        <is>
          <t>內部</t>
        </is>
      </c>
      <c r="E1236" t="inlineStr">
        <is>
          <t>內案</t>
        </is>
      </c>
      <c r="F1236" s="3" t="n">
        <v>8457888</v>
      </c>
      <c r="G1236" s="3" t="n">
        <v>2922662</v>
      </c>
      <c r="H1236" s="3" t="n">
        <v>11380550</v>
      </c>
      <c r="I1236" s="3" t="n">
        <v>0</v>
      </c>
      <c r="J1236" s="3" t="n">
        <v>11380550</v>
      </c>
    </row>
    <row r="1237">
      <c r="A1237" t="inlineStr">
        <is>
          <t>累計 Year 2030</t>
        </is>
      </c>
      <c r="B1237" t="inlineStr">
        <is>
          <t>C/92204</t>
        </is>
      </c>
      <c r="C1237" t="inlineStr">
        <is>
          <t>國揚吉林機電</t>
        </is>
      </c>
      <c r="D1237" t="inlineStr">
        <is>
          <t>內部</t>
        </is>
      </c>
      <c r="E1237" t="inlineStr">
        <is>
          <t>內案</t>
        </is>
      </c>
      <c r="F1237" s="3" t="n">
        <v>1258917</v>
      </c>
      <c r="G1237" s="3" t="n">
        <v>691083</v>
      </c>
      <c r="H1237" s="3" t="n">
        <v>1950000</v>
      </c>
      <c r="I1237" s="3" t="n">
        <v>0</v>
      </c>
      <c r="J1237" s="3" t="n">
        <v>1950000</v>
      </c>
    </row>
    <row r="1238">
      <c r="A1238" t="inlineStr">
        <is>
          <t>累計 Year 2030</t>
        </is>
      </c>
      <c r="B1238" t="inlineStr">
        <is>
          <t>C/92301</t>
        </is>
      </c>
      <c r="C1238" t="inlineStr">
        <is>
          <t>CF670A BIM 土木機電</t>
        </is>
      </c>
      <c r="D1238" t="inlineStr">
        <is>
          <t>內部</t>
        </is>
      </c>
      <c r="E1238" t="inlineStr">
        <is>
          <t>內案</t>
        </is>
      </c>
      <c r="F1238" s="3" t="n">
        <v>10725767</v>
      </c>
      <c r="G1238" s="3" t="n">
        <v>1231900</v>
      </c>
      <c r="H1238" s="3" t="n">
        <v>11957667</v>
      </c>
      <c r="I1238" s="3" t="n">
        <v>0</v>
      </c>
      <c r="J1238" s="3" t="n">
        <v>14039000</v>
      </c>
    </row>
    <row r="1239">
      <c r="A1239" t="inlineStr">
        <is>
          <t>累計 Year 2030</t>
        </is>
      </c>
      <c r="B1239" t="inlineStr">
        <is>
          <t>C/92302</t>
        </is>
      </c>
      <c r="C1239" t="inlineStr">
        <is>
          <t>富邦忠孝懷生BIM機電</t>
        </is>
      </c>
      <c r="D1239" t="inlineStr">
        <is>
          <t>內部</t>
        </is>
      </c>
      <c r="E1239" t="inlineStr">
        <is>
          <t>內案</t>
        </is>
      </c>
      <c r="F1239" s="3" t="n">
        <v>4575503</v>
      </c>
      <c r="G1239" s="3" t="n">
        <v>-195503</v>
      </c>
      <c r="H1239" s="3" t="n">
        <v>4380000</v>
      </c>
      <c r="I1239" s="3" t="n">
        <v>0</v>
      </c>
      <c r="J1239" s="3" t="n">
        <v>4380000</v>
      </c>
    </row>
    <row r="1240">
      <c r="A1240" t="inlineStr">
        <is>
          <t>累計 Year 2030</t>
        </is>
      </c>
      <c r="B1240" t="inlineStr">
        <is>
          <t>C/92303</t>
        </is>
      </c>
      <c r="C1240" t="inlineStr">
        <is>
          <t>信義兒福BIM機電</t>
        </is>
      </c>
      <c r="D1240" t="inlineStr">
        <is>
          <t>外部</t>
        </is>
      </c>
      <c r="E1240" t="inlineStr">
        <is>
          <t>外案</t>
        </is>
      </c>
      <c r="F1240" s="3" t="n">
        <v>2838696</v>
      </c>
      <c r="G1240" s="3" t="n">
        <v>686304</v>
      </c>
      <c r="H1240" s="3" t="n">
        <v>3525000</v>
      </c>
      <c r="I1240" s="3" t="n">
        <v>0</v>
      </c>
      <c r="J1240" s="3" t="n">
        <v>3525000</v>
      </c>
    </row>
    <row r="1241">
      <c r="A1241" t="inlineStr">
        <is>
          <t>累計 Year 2030</t>
        </is>
      </c>
      <c r="B1241" t="inlineStr">
        <is>
          <t>C/92304</t>
        </is>
      </c>
      <c r="C1241" t="inlineStr">
        <is>
          <t>捷運劍潭站TOD統包BIM機電</t>
        </is>
      </c>
      <c r="D1241" t="inlineStr">
        <is>
          <t>內部</t>
        </is>
      </c>
      <c r="E1241" t="inlineStr">
        <is>
          <t>內案</t>
        </is>
      </c>
      <c r="F1241" s="3" t="n">
        <v>7041372</v>
      </c>
      <c r="G1241" s="3" t="n">
        <v>758628</v>
      </c>
      <c r="H1241" s="3" t="n">
        <v>7800000</v>
      </c>
      <c r="I1241" s="3" t="n">
        <v>0</v>
      </c>
      <c r="J1241" s="3" t="n">
        <v>7800000</v>
      </c>
    </row>
    <row r="1242">
      <c r="A1242" t="inlineStr">
        <is>
          <t>累計 Year 2030</t>
        </is>
      </c>
      <c r="B1242" t="inlineStr">
        <is>
          <t>C/92401</t>
        </is>
      </c>
      <c r="C1242" t="inlineStr">
        <is>
          <t>CJ17 土木機電</t>
        </is>
      </c>
      <c r="D1242" t="inlineStr">
        <is>
          <t>內部</t>
        </is>
      </c>
      <c r="E1242" t="inlineStr">
        <is>
          <t>內案</t>
        </is>
      </c>
      <c r="F1242" s="3" t="n">
        <v>10356531</v>
      </c>
      <c r="G1242" s="3" t="n">
        <v>5013998</v>
      </c>
      <c r="H1242" s="3" t="n">
        <v>15370529</v>
      </c>
      <c r="I1242" s="3" t="n">
        <v>0</v>
      </c>
      <c r="J1242" s="3" t="n">
        <v>21613000</v>
      </c>
    </row>
    <row r="1243">
      <c r="A1243" t="inlineStr">
        <is>
          <t>累計 Year 2030</t>
        </is>
      </c>
      <c r="B1243" t="inlineStr">
        <is>
          <t>C/92501</t>
        </is>
      </c>
      <c r="C1243" t="inlineStr">
        <is>
          <t>CF670 BIM土木機電</t>
        </is>
      </c>
      <c r="D1243" t="inlineStr">
        <is>
          <t>內部</t>
        </is>
      </c>
      <c r="E1243" t="inlineStr">
        <is>
          <t>內案</t>
        </is>
      </c>
      <c r="F1243" s="3" t="n">
        <v>17829811</v>
      </c>
      <c r="G1243" s="3" t="n">
        <v>8514449</v>
      </c>
      <c r="H1243" s="3" t="n">
        <v>26344260</v>
      </c>
      <c r="I1243" s="3" t="n">
        <v>0</v>
      </c>
      <c r="J1243" s="3" t="n">
        <v>24331750</v>
      </c>
    </row>
    <row r="1244">
      <c r="A1244" t="inlineStr">
        <is>
          <t>累計 Year 2030</t>
        </is>
      </c>
      <c r="B1244" t="inlineStr">
        <is>
          <t>C/92502</t>
        </is>
      </c>
      <c r="C1244" t="inlineStr">
        <is>
          <t>擎邦-聯發科機電</t>
        </is>
      </c>
      <c r="D1244" t="inlineStr">
        <is>
          <t>外部</t>
        </is>
      </c>
      <c r="E1244" t="inlineStr">
        <is>
          <t>外案</t>
        </is>
      </c>
      <c r="F1244" s="3" t="n">
        <v>2812703</v>
      </c>
      <c r="G1244" s="3" t="n">
        <v>2187297</v>
      </c>
      <c r="H1244" s="3" t="n">
        <v>5000000</v>
      </c>
      <c r="I1244" s="3" t="n">
        <v>0</v>
      </c>
      <c r="J1244" s="3" t="n">
        <v>5000000</v>
      </c>
    </row>
    <row r="1245">
      <c r="A1245" t="inlineStr">
        <is>
          <t>累計 Year 2030</t>
        </is>
      </c>
      <c r="B1245" t="inlineStr">
        <is>
          <t>C/92503</t>
        </is>
      </c>
      <c r="C1245" t="inlineStr">
        <is>
          <t>CF690B BIM土木</t>
        </is>
      </c>
      <c r="D1245" t="inlineStr">
        <is>
          <t>外部</t>
        </is>
      </c>
      <c r="E1245" t="inlineStr">
        <is>
          <t>外案</t>
        </is>
      </c>
      <c r="F1245" s="3" t="n">
        <v>4170654</v>
      </c>
      <c r="G1245" s="3" t="n">
        <v>1739039</v>
      </c>
      <c r="H1245" s="3" t="n">
        <v>5909693</v>
      </c>
      <c r="I1245" s="3" t="n">
        <v>0</v>
      </c>
      <c r="J1245" s="3" t="n">
        <v>7854300</v>
      </c>
    </row>
    <row r="1246">
      <c r="A1246" t="inlineStr">
        <is>
          <t>累計 Year 2030</t>
        </is>
      </c>
      <c r="B1246" t="inlineStr">
        <is>
          <t>C/92504</t>
        </is>
      </c>
      <c r="C1246" t="inlineStr">
        <is>
          <t>擎邦-員榮總醫院BIM</t>
        </is>
      </c>
      <c r="D1246" t="inlineStr">
        <is>
          <t>外部</t>
        </is>
      </c>
      <c r="E1246" t="inlineStr">
        <is>
          <t>外案</t>
        </is>
      </c>
      <c r="F1246" s="3" t="n">
        <v>6304845</v>
      </c>
      <c r="G1246" s="3" t="n">
        <v>3095155</v>
      </c>
      <c r="H1246" s="3" t="n">
        <v>9400000</v>
      </c>
      <c r="I1246" s="3" t="n">
        <v>0</v>
      </c>
      <c r="J1246" s="3" t="n">
        <v>9400000</v>
      </c>
    </row>
    <row r="1247">
      <c r="A1247" t="inlineStr">
        <is>
          <t>累計 Year 2030</t>
        </is>
      </c>
      <c r="B1247" t="inlineStr">
        <is>
          <t>C/92601</t>
        </is>
      </c>
      <c r="C1247" t="inlineStr">
        <is>
          <t>擎邦-聯發科銅鑼</t>
        </is>
      </c>
      <c r="D1247" t="inlineStr">
        <is>
          <t>外部</t>
        </is>
      </c>
      <c r="E1247" t="inlineStr">
        <is>
          <t>外案</t>
        </is>
      </c>
      <c r="F1247" s="3" t="n">
        <v>575468</v>
      </c>
      <c r="G1247" s="3" t="n">
        <v>754532</v>
      </c>
      <c r="H1247" s="3" t="n">
        <v>1330000</v>
      </c>
      <c r="I1247" s="3" t="n">
        <v>0</v>
      </c>
      <c r="J1247" s="3" t="n">
        <v>1330000</v>
      </c>
    </row>
    <row r="1248">
      <c r="A1248" t="inlineStr">
        <is>
          <t>累計 Year 2030</t>
        </is>
      </c>
      <c r="B1248" t="inlineStr">
        <is>
          <t>C/92602</t>
        </is>
      </c>
      <c r="C1248" t="inlineStr">
        <is>
          <t>擎邦-CF624F機電(CF690B機電)</t>
        </is>
      </c>
      <c r="D1248" t="inlineStr">
        <is>
          <t>外部</t>
        </is>
      </c>
      <c r="E1248" t="inlineStr">
        <is>
          <t>外案</t>
        </is>
      </c>
      <c r="F1248" s="3" t="n">
        <v>7120568</v>
      </c>
      <c r="G1248" s="3" t="n">
        <v>3322548</v>
      </c>
      <c r="H1248" s="3" t="n">
        <v>10443116</v>
      </c>
      <c r="I1248" s="3" t="n">
        <v>0</v>
      </c>
      <c r="J1248" s="3" t="n">
        <v>8472000</v>
      </c>
    </row>
    <row r="1249">
      <c r="A1249" t="inlineStr">
        <is>
          <t>累計 Year 2030</t>
        </is>
      </c>
      <c r="B1249" t="inlineStr">
        <is>
          <t>C/92603</t>
        </is>
      </c>
      <c r="C1249" t="inlineStr">
        <is>
          <t>中華郵政信維機電</t>
        </is>
      </c>
      <c r="D1249" t="inlineStr">
        <is>
          <t>內部</t>
        </is>
      </c>
      <c r="E1249" t="inlineStr">
        <is>
          <t>內案</t>
        </is>
      </c>
      <c r="F1249" s="3" t="n">
        <v>8279161</v>
      </c>
      <c r="G1249" s="3" t="n">
        <v>4064755</v>
      </c>
      <c r="H1249" s="3" t="n">
        <v>12343916</v>
      </c>
      <c r="I1249" s="3" t="n">
        <v>0</v>
      </c>
      <c r="J1249" s="3" t="n">
        <v>14185500</v>
      </c>
    </row>
    <row r="1250">
      <c r="A1250" t="inlineStr">
        <is>
          <t>累計 Year 2030</t>
        </is>
      </c>
      <c r="B1250" t="inlineStr">
        <is>
          <t>C/91001_26</t>
        </is>
      </c>
      <c r="C1250" t="inlineStr">
        <is>
          <t>新取得BIM土木機電-26年</t>
        </is>
      </c>
      <c r="D1250" t="inlineStr">
        <is>
          <t>內部</t>
        </is>
      </c>
      <c r="E1250" t="inlineStr">
        <is>
          <t>內案</t>
        </is>
      </c>
      <c r="F1250" s="3" t="n">
        <v>0</v>
      </c>
      <c r="G1250" s="3" t="n">
        <v>0</v>
      </c>
      <c r="H1250" s="3" t="n">
        <v>0</v>
      </c>
      <c r="I1250" s="3" t="n">
        <v>0</v>
      </c>
      <c r="J1250" s="3" t="n">
        <v>0</v>
      </c>
    </row>
    <row r="1251">
      <c r="A1251" t="inlineStr">
        <is>
          <t>累計 Year 2030</t>
        </is>
      </c>
      <c r="B1251" t="inlineStr">
        <is>
          <t>C/91000_27</t>
        </is>
      </c>
      <c r="C1251" t="inlineStr">
        <is>
          <t>新取得BIM土木機電-26年</t>
        </is>
      </c>
      <c r="D1251" t="inlineStr">
        <is>
          <t>內部</t>
        </is>
      </c>
      <c r="E1251" t="inlineStr">
        <is>
          <t>內案</t>
        </is>
      </c>
      <c r="F1251" s="3" t="n">
        <v>0</v>
      </c>
      <c r="G1251" s="3" t="n">
        <v>0</v>
      </c>
      <c r="H1251" s="3" t="n">
        <v>0</v>
      </c>
      <c r="I1251" s="3" t="n">
        <v>0</v>
      </c>
      <c r="J1251" s="3" t="n">
        <v>0</v>
      </c>
    </row>
    <row r="1252">
      <c r="A1252" t="inlineStr">
        <is>
          <t>累計 Year 2030</t>
        </is>
      </c>
      <c r="B1252" t="inlineStr">
        <is>
          <t>C/91001_27</t>
        </is>
      </c>
      <c r="C1252" t="inlineStr">
        <is>
          <t>新取得BIM土木機電-27年</t>
        </is>
      </c>
      <c r="D1252" t="inlineStr">
        <is>
          <t>內部</t>
        </is>
      </c>
      <c r="E1252" t="inlineStr">
        <is>
          <t>內案</t>
        </is>
      </c>
      <c r="F1252" s="3" t="n">
        <v>24013656</v>
      </c>
      <c r="G1252" s="3" t="n">
        <v>12023879</v>
      </c>
      <c r="H1252" s="3" t="n">
        <v>36037535</v>
      </c>
      <c r="I1252" s="3" t="n">
        <v>0</v>
      </c>
      <c r="J1252" s="3" t="n">
        <v>30324000</v>
      </c>
    </row>
    <row r="1253">
      <c r="A1253" t="inlineStr">
        <is>
          <t>累計 Year 2030</t>
        </is>
      </c>
      <c r="B1253" t="inlineStr">
        <is>
          <t>C/91002_27</t>
        </is>
      </c>
      <c r="C1253" t="inlineStr">
        <is>
          <t>新取得BIM土木機電-28年</t>
        </is>
      </c>
      <c r="D1253" t="inlineStr">
        <is>
          <t>內部</t>
        </is>
      </c>
      <c r="E1253" t="inlineStr">
        <is>
          <t>內案</t>
        </is>
      </c>
      <c r="F1253" s="3" t="n">
        <v>10953080</v>
      </c>
      <c r="G1253" s="3" t="n">
        <v>5366767</v>
      </c>
      <c r="H1253" s="3" t="n">
        <v>16319847</v>
      </c>
      <c r="I1253" s="3" t="n">
        <v>0</v>
      </c>
      <c r="J1253" s="3" t="n">
        <v>14600000</v>
      </c>
    </row>
    <row r="1254">
      <c r="A1254" t="inlineStr">
        <is>
          <t>累計 Year 2030</t>
        </is>
      </c>
      <c r="B1254" t="inlineStr">
        <is>
          <t>C/91003_27</t>
        </is>
      </c>
      <c r="C1254" t="inlineStr">
        <is>
          <t>新取得BIM土木機電-29年</t>
        </is>
      </c>
      <c r="D1254" t="inlineStr">
        <is>
          <t>內部</t>
        </is>
      </c>
      <c r="E1254" t="inlineStr">
        <is>
          <t>內案</t>
        </is>
      </c>
      <c r="F1254" s="3" t="n">
        <v>6930240</v>
      </c>
      <c r="G1254" s="3" t="n">
        <v>3351624</v>
      </c>
      <c r="H1254" s="3" t="n">
        <v>10281864</v>
      </c>
      <c r="I1254" s="3" t="n">
        <v>0</v>
      </c>
      <c r="J1254" s="3" t="n">
        <v>15200000</v>
      </c>
    </row>
    <row r="1255">
      <c r="A1255" t="inlineStr">
        <is>
          <t>累計 Year 2030</t>
        </is>
      </c>
      <c r="B1255" t="inlineStr">
        <is>
          <t>C/91004_27</t>
        </is>
      </c>
      <c r="C1255" t="inlineStr">
        <is>
          <t>新取得BIM土木機電-30年</t>
        </is>
      </c>
      <c r="D1255" t="inlineStr">
        <is>
          <t>內部</t>
        </is>
      </c>
      <c r="E1255" t="inlineStr">
        <is>
          <t>內案</t>
        </is>
      </c>
      <c r="F1255" s="3" t="n">
        <v>4182580</v>
      </c>
      <c r="G1255" s="3" t="n">
        <v>2026536</v>
      </c>
      <c r="H1255" s="3" t="n">
        <v>6209116</v>
      </c>
      <c r="I1255" s="3" t="n">
        <v>0</v>
      </c>
      <c r="J1255" s="3" t="n">
        <v>7800000</v>
      </c>
    </row>
    <row r="1256">
      <c r="A1256" t="inlineStr">
        <is>
          <t>累計 Year 2030</t>
        </is>
      </c>
      <c r="B1256" t="inlineStr">
        <is>
          <t>C/91005_27</t>
        </is>
      </c>
      <c r="C1256" t="inlineStr">
        <is>
          <t>新取得BIM土木機電-31年</t>
        </is>
      </c>
      <c r="D1256" t="inlineStr">
        <is>
          <t>內部</t>
        </is>
      </c>
      <c r="E1256" t="inlineStr">
        <is>
          <t>內案</t>
        </is>
      </c>
      <c r="F1256" s="3" t="n">
        <v>0</v>
      </c>
      <c r="G1256" s="3" t="n">
        <v>0</v>
      </c>
      <c r="H1256" s="3" t="n">
        <v>0</v>
      </c>
      <c r="I1256" s="3" t="n">
        <v>0</v>
      </c>
      <c r="J1256" s="3" t="n">
        <v>0</v>
      </c>
    </row>
    <row r="1257">
      <c r="A1257" t="inlineStr">
        <is>
          <t>累計 Year 2030</t>
        </is>
      </c>
      <c r="B1257" t="inlineStr">
        <is>
          <t>C/9210F</t>
        </is>
      </c>
      <c r="C1257" t="inlineStr">
        <is>
          <t>南港機廠BIM建築</t>
        </is>
      </c>
      <c r="D1257" t="inlineStr">
        <is>
          <t>外部</t>
        </is>
      </c>
      <c r="E1257" t="inlineStr">
        <is>
          <t>外案</t>
        </is>
      </c>
      <c r="F1257" s="3" t="n">
        <v>7070420</v>
      </c>
      <c r="G1257" s="3" t="n">
        <v>4041580</v>
      </c>
      <c r="H1257" s="3" t="n">
        <v>11112000</v>
      </c>
      <c r="I1257" s="3" t="n">
        <v>0</v>
      </c>
      <c r="J1257" s="3" t="n">
        <v>11112000</v>
      </c>
    </row>
    <row r="1258">
      <c r="A1258" t="inlineStr">
        <is>
          <t>累計 Year 2030</t>
        </is>
      </c>
      <c r="B1258" t="inlineStr">
        <is>
          <t>C/9210G</t>
        </is>
      </c>
      <c r="C1258" t="inlineStr">
        <is>
          <t>富邦忠孝懷生BIM建築</t>
        </is>
      </c>
      <c r="D1258" t="inlineStr">
        <is>
          <t>內部</t>
        </is>
      </c>
      <c r="E1258" t="inlineStr">
        <is>
          <t>內案</t>
        </is>
      </c>
      <c r="F1258" s="3" t="n">
        <v>8421321</v>
      </c>
      <c r="G1258" s="3" t="n">
        <v>-795674</v>
      </c>
      <c r="H1258" s="3" t="n">
        <v>7625647</v>
      </c>
      <c r="I1258" s="3" t="n">
        <v>-20279</v>
      </c>
      <c r="J1258" s="3" t="n">
        <v>7820000</v>
      </c>
    </row>
    <row r="1259">
      <c r="A1259" t="inlineStr">
        <is>
          <t>累計 Year 2030</t>
        </is>
      </c>
      <c r="B1259" t="inlineStr">
        <is>
          <t>C/9220E</t>
        </is>
      </c>
      <c r="C1259" t="inlineStr">
        <is>
          <t>柏鴻北士科 C/9100A-22A</t>
        </is>
      </c>
      <c r="D1259" t="inlineStr">
        <is>
          <t>內部</t>
        </is>
      </c>
      <c r="E1259" t="inlineStr">
        <is>
          <t>內案</t>
        </is>
      </c>
      <c r="F1259" s="3" t="n">
        <v>2328910</v>
      </c>
      <c r="G1259" s="3" t="n">
        <v>1596878</v>
      </c>
      <c r="H1259" s="3" t="n">
        <v>3925788</v>
      </c>
      <c r="I1259" s="3" t="n">
        <v>0</v>
      </c>
      <c r="J1259" s="3" t="n">
        <v>4030000</v>
      </c>
    </row>
    <row r="1260">
      <c r="A1260" t="inlineStr">
        <is>
          <t>累計 Year 2030</t>
        </is>
      </c>
      <c r="B1260" t="inlineStr">
        <is>
          <t>C/9230A</t>
        </is>
      </c>
      <c r="C1260" t="inlineStr">
        <is>
          <t>信義兒福BIM建築</t>
        </is>
      </c>
      <c r="D1260" t="inlineStr">
        <is>
          <t>外部</t>
        </is>
      </c>
      <c r="E1260" t="inlineStr">
        <is>
          <t>外案</t>
        </is>
      </c>
      <c r="F1260" s="3" t="n">
        <v>3085739</v>
      </c>
      <c r="G1260" s="3" t="n">
        <v>1225317</v>
      </c>
      <c r="H1260" s="3" t="n">
        <v>4311056</v>
      </c>
      <c r="I1260" s="3" t="n">
        <v>0</v>
      </c>
      <c r="J1260" s="3" t="n">
        <v>5150000</v>
      </c>
    </row>
    <row r="1261">
      <c r="A1261" t="inlineStr">
        <is>
          <t>累計 Year 2030</t>
        </is>
      </c>
      <c r="B1261" t="inlineStr">
        <is>
          <t>C/9230B</t>
        </is>
      </c>
      <c r="C1261" t="inlineStr">
        <is>
          <t>北捷劍潭TOD</t>
        </is>
      </c>
      <c r="D1261" t="inlineStr">
        <is>
          <t>內部</t>
        </is>
      </c>
      <c r="E1261" t="inlineStr">
        <is>
          <t>內案</t>
        </is>
      </c>
      <c r="F1261" s="3" t="n">
        <v>12015135</v>
      </c>
      <c r="G1261" s="3" t="n">
        <v>6652560</v>
      </c>
      <c r="H1261" s="3" t="n">
        <v>18667695</v>
      </c>
      <c r="I1261" s="3" t="n">
        <v>0</v>
      </c>
      <c r="J1261" s="3" t="n">
        <v>19200000</v>
      </c>
    </row>
    <row r="1262">
      <c r="A1262" t="inlineStr">
        <is>
          <t>累計 Year 2030</t>
        </is>
      </c>
      <c r="B1262" t="inlineStr">
        <is>
          <t>C/9230C</t>
        </is>
      </c>
      <c r="C1262" t="inlineStr">
        <is>
          <t>慶城福華-23年</t>
        </is>
      </c>
      <c r="D1262" t="inlineStr">
        <is>
          <t>內部</t>
        </is>
      </c>
      <c r="E1262" t="inlineStr">
        <is>
          <t>內案</t>
        </is>
      </c>
      <c r="F1262" s="3" t="n">
        <v>2933733</v>
      </c>
      <c r="G1262" s="3" t="n">
        <v>1595217</v>
      </c>
      <c r="H1262" s="3" t="n">
        <v>4528950</v>
      </c>
      <c r="I1262" s="3" t="n">
        <v>0</v>
      </c>
      <c r="J1262" s="3" t="n">
        <v>4940000</v>
      </c>
    </row>
    <row r="1263">
      <c r="A1263" t="inlineStr">
        <is>
          <t>累計 Year 2030</t>
        </is>
      </c>
      <c r="B1263" t="inlineStr">
        <is>
          <t>C/9240A</t>
        </is>
      </c>
      <c r="C1263" t="inlineStr">
        <is>
          <t>南港國際一</t>
        </is>
      </c>
      <c r="D1263" t="inlineStr">
        <is>
          <t>內部</t>
        </is>
      </c>
      <c r="E1263" t="inlineStr">
        <is>
          <t>內案</t>
        </is>
      </c>
      <c r="F1263" s="3" t="n">
        <v>16341779</v>
      </c>
      <c r="G1263" s="3" t="n">
        <v>14399490</v>
      </c>
      <c r="H1263" s="3" t="n">
        <v>30741269</v>
      </c>
      <c r="I1263" s="3" t="n">
        <v>0</v>
      </c>
      <c r="J1263" s="3" t="n">
        <v>31186000</v>
      </c>
    </row>
    <row r="1264">
      <c r="A1264" t="inlineStr">
        <is>
          <t>累計 Year 2030</t>
        </is>
      </c>
      <c r="B1264" t="inlineStr">
        <is>
          <t>C/9240B</t>
        </is>
      </c>
      <c r="C1264" t="inlineStr">
        <is>
          <t xml:space="preserve">台中洲際BIM建築 </t>
        </is>
      </c>
      <c r="D1264" t="inlineStr">
        <is>
          <t>內部</t>
        </is>
      </c>
      <c r="E1264" t="inlineStr">
        <is>
          <t>內案</t>
        </is>
      </c>
      <c r="F1264" s="3" t="n">
        <v>1681852</v>
      </c>
      <c r="G1264" s="3" t="n">
        <v>518148</v>
      </c>
      <c r="H1264" s="3" t="n">
        <v>2200000</v>
      </c>
      <c r="I1264" s="3" t="n">
        <v>0</v>
      </c>
      <c r="J1264" s="3" t="n">
        <v>2200000</v>
      </c>
    </row>
    <row r="1265">
      <c r="A1265" t="inlineStr">
        <is>
          <t>累計 Year 2030</t>
        </is>
      </c>
      <c r="B1265" t="inlineStr">
        <is>
          <t>C/9240C</t>
        </is>
      </c>
      <c r="C1265" t="inlineStr">
        <is>
          <t xml:space="preserve">大直金泰BIM建築 </t>
        </is>
      </c>
      <c r="D1265" t="inlineStr">
        <is>
          <t>內部</t>
        </is>
      </c>
      <c r="E1265" t="inlineStr">
        <is>
          <t>內案</t>
        </is>
      </c>
      <c r="F1265" s="3" t="n">
        <v>2266711</v>
      </c>
      <c r="G1265" s="3" t="n">
        <v>510071</v>
      </c>
      <c r="H1265" s="3" t="n">
        <v>2776782</v>
      </c>
      <c r="I1265" s="3" t="n">
        <v>0</v>
      </c>
      <c r="J1265" s="3" t="n">
        <v>3125000</v>
      </c>
    </row>
    <row r="1266">
      <c r="A1266" t="inlineStr">
        <is>
          <t>累計 Year 2030</t>
        </is>
      </c>
      <c r="B1266" t="inlineStr">
        <is>
          <t>C/9240D</t>
        </is>
      </c>
      <c r="C1266" t="inlineStr">
        <is>
          <t xml:space="preserve">板橋新雅BIM建築 </t>
        </is>
      </c>
      <c r="D1266" t="inlineStr">
        <is>
          <t>內部</t>
        </is>
      </c>
      <c r="E1266" t="inlineStr">
        <is>
          <t>內案</t>
        </is>
      </c>
      <c r="F1266" s="3" t="n">
        <v>899848</v>
      </c>
      <c r="G1266" s="3" t="n">
        <v>788507</v>
      </c>
      <c r="H1266" s="3" t="n">
        <v>1688355</v>
      </c>
      <c r="I1266" s="3" t="n">
        <v>0</v>
      </c>
      <c r="J1266" s="3" t="n">
        <v>2042000</v>
      </c>
    </row>
    <row r="1267">
      <c r="A1267" t="inlineStr">
        <is>
          <t>累計 Year 2030</t>
        </is>
      </c>
      <c r="B1267" t="inlineStr">
        <is>
          <t>C/9240E</t>
        </is>
      </c>
      <c r="C1267" t="inlineStr">
        <is>
          <t xml:space="preserve">板橋四維BIM建築 </t>
        </is>
      </c>
      <c r="D1267" t="inlineStr">
        <is>
          <t>內部</t>
        </is>
      </c>
      <c r="E1267" t="inlineStr">
        <is>
          <t>內案</t>
        </is>
      </c>
      <c r="F1267" s="3" t="n">
        <v>1089400</v>
      </c>
      <c r="G1267" s="3" t="n">
        <v>1112600</v>
      </c>
      <c r="H1267" s="3" t="n">
        <v>2202000</v>
      </c>
      <c r="I1267" s="3" t="n">
        <v>0</v>
      </c>
      <c r="J1267" s="3" t="n">
        <v>2202000</v>
      </c>
    </row>
    <row r="1268">
      <c r="A1268" t="inlineStr">
        <is>
          <t>累計 Year 2030</t>
        </is>
      </c>
      <c r="B1268" t="inlineStr">
        <is>
          <t>C/9240F</t>
        </is>
      </c>
      <c r="C1268" t="inlineStr">
        <is>
          <t>台中新美齊</t>
        </is>
      </c>
      <c r="D1268" t="inlineStr">
        <is>
          <t>內部</t>
        </is>
      </c>
      <c r="E1268" t="inlineStr">
        <is>
          <t>內案</t>
        </is>
      </c>
      <c r="F1268" s="3" t="n">
        <v>1753277</v>
      </c>
      <c r="G1268" s="3" t="n">
        <v>1537426</v>
      </c>
      <c r="H1268" s="3" t="n">
        <v>3290703</v>
      </c>
      <c r="I1268" s="3" t="n">
        <v>0</v>
      </c>
      <c r="J1268" s="3" t="n">
        <v>3365000</v>
      </c>
    </row>
    <row r="1269">
      <c r="A1269" t="inlineStr">
        <is>
          <t>累計 Year 2030</t>
        </is>
      </c>
      <c r="B1269" t="inlineStr">
        <is>
          <t>C/9240G</t>
        </is>
      </c>
      <c r="C1269" t="inlineStr">
        <is>
          <t>晨禎片片山閑</t>
        </is>
      </c>
      <c r="D1269" t="inlineStr">
        <is>
          <t>外部</t>
        </is>
      </c>
      <c r="E1269" t="inlineStr">
        <is>
          <t>外案</t>
        </is>
      </c>
      <c r="F1269" s="3" t="n">
        <v>1250140</v>
      </c>
      <c r="G1269" s="3" t="n">
        <v>1797480</v>
      </c>
      <c r="H1269" s="3" t="n">
        <v>3047620</v>
      </c>
      <c r="I1269" s="3" t="n">
        <v>0</v>
      </c>
      <c r="J1269" s="3" t="n">
        <v>3047620</v>
      </c>
    </row>
    <row r="1270">
      <c r="A1270" t="inlineStr">
        <is>
          <t>累計 Year 2030</t>
        </is>
      </c>
      <c r="B1270" t="inlineStr">
        <is>
          <t>C/9250A</t>
        </is>
      </c>
      <c r="C1270" t="inlineStr">
        <is>
          <t>南機二區BIM服務</t>
        </is>
      </c>
      <c r="D1270" t="inlineStr">
        <is>
          <t>內部</t>
        </is>
      </c>
      <c r="E1270" t="inlineStr">
        <is>
          <t>內案</t>
        </is>
      </c>
      <c r="F1270" s="3" t="n">
        <v>28807663</v>
      </c>
      <c r="G1270" s="3" t="n">
        <v>7154370</v>
      </c>
      <c r="H1270" s="3" t="n">
        <v>35962033</v>
      </c>
      <c r="I1270" s="3" t="n">
        <v>0</v>
      </c>
      <c r="J1270" s="3" t="n">
        <v>36177000</v>
      </c>
    </row>
    <row r="1271">
      <c r="A1271" t="inlineStr">
        <is>
          <t>累計 Year 2030</t>
        </is>
      </c>
      <c r="B1271" t="inlineStr">
        <is>
          <t>C/9250B</t>
        </is>
      </c>
      <c r="C1271" t="inlineStr">
        <is>
          <t>璞真南港總部</t>
        </is>
      </c>
      <c r="D1271" t="inlineStr">
        <is>
          <t>內部</t>
        </is>
      </c>
      <c r="E1271" t="inlineStr">
        <is>
          <t>內案</t>
        </is>
      </c>
      <c r="F1271" s="3" t="n">
        <v>1165035</v>
      </c>
      <c r="G1271" s="3" t="n">
        <v>580792</v>
      </c>
      <c r="H1271" s="3" t="n">
        <v>1745827</v>
      </c>
      <c r="I1271" s="3" t="n">
        <v>0</v>
      </c>
      <c r="J1271" s="3" t="n">
        <v>1910000</v>
      </c>
    </row>
    <row r="1272">
      <c r="A1272" t="inlineStr">
        <is>
          <t>累計 Year 2030</t>
        </is>
      </c>
      <c r="B1272" t="inlineStr">
        <is>
          <t>C/9250C</t>
        </is>
      </c>
      <c r="C1272" t="inlineStr">
        <is>
          <t>築源南港</t>
        </is>
      </c>
      <c r="D1272" t="inlineStr">
        <is>
          <t>內部</t>
        </is>
      </c>
      <c r="E1272" t="inlineStr">
        <is>
          <t>內案</t>
        </is>
      </c>
      <c r="F1272" s="3" t="n">
        <v>2645757</v>
      </c>
      <c r="G1272" s="3" t="n">
        <v>1236743</v>
      </c>
      <c r="H1272" s="3" t="n">
        <v>3882500</v>
      </c>
      <c r="I1272" s="3" t="n">
        <v>0</v>
      </c>
      <c r="J1272" s="3" t="n">
        <v>3969500</v>
      </c>
    </row>
    <row r="1273">
      <c r="A1273" t="inlineStr">
        <is>
          <t>累計 Year 2030</t>
        </is>
      </c>
      <c r="B1273" t="inlineStr">
        <is>
          <t>C/9250D</t>
        </is>
      </c>
      <c r="C1273" t="inlineStr">
        <is>
          <t>南港三重</t>
        </is>
      </c>
      <c r="D1273" t="inlineStr">
        <is>
          <t>內部</t>
        </is>
      </c>
      <c r="E1273" t="inlineStr">
        <is>
          <t>內案</t>
        </is>
      </c>
      <c r="F1273" s="3" t="n">
        <v>1809660</v>
      </c>
      <c r="G1273" s="3" t="n">
        <v>824824</v>
      </c>
      <c r="H1273" s="3" t="n">
        <v>2634484</v>
      </c>
      <c r="I1273" s="3" t="n">
        <v>0</v>
      </c>
      <c r="J1273" s="3" t="n">
        <v>2655000</v>
      </c>
    </row>
    <row r="1274">
      <c r="A1274" t="inlineStr">
        <is>
          <t>累計 Year 2030</t>
        </is>
      </c>
      <c r="B1274" t="inlineStr">
        <is>
          <t>C/9260A</t>
        </is>
      </c>
      <c r="C1274" t="inlineStr">
        <is>
          <t>台中楓溪</t>
        </is>
      </c>
      <c r="D1274" t="inlineStr">
        <is>
          <t>內部</t>
        </is>
      </c>
      <c r="E1274" t="inlineStr">
        <is>
          <t>內案</t>
        </is>
      </c>
      <c r="F1274" s="3" t="n">
        <v>1295167</v>
      </c>
      <c r="G1274" s="3" t="n">
        <v>590037</v>
      </c>
      <c r="H1274" s="3" t="n">
        <v>1885204</v>
      </c>
      <c r="I1274" s="3" t="n">
        <v>0</v>
      </c>
      <c r="J1274" s="3" t="n">
        <v>2588000</v>
      </c>
    </row>
    <row r="1275">
      <c r="A1275" t="inlineStr">
        <is>
          <t>累計 Year 2030</t>
        </is>
      </c>
      <c r="B1275" t="inlineStr">
        <is>
          <t>C/9260B</t>
        </is>
      </c>
      <c r="C1275" t="inlineStr">
        <is>
          <t>樺輝永鑄</t>
        </is>
      </c>
      <c r="D1275" t="inlineStr">
        <is>
          <t>內部</t>
        </is>
      </c>
      <c r="E1275" t="inlineStr">
        <is>
          <t>內案</t>
        </is>
      </c>
      <c r="F1275" s="3" t="n">
        <v>2567070</v>
      </c>
      <c r="G1275" s="3" t="n">
        <v>500481</v>
      </c>
      <c r="H1275" s="3" t="n">
        <v>3067551</v>
      </c>
      <c r="I1275" s="3" t="n">
        <v>0</v>
      </c>
      <c r="J1275" s="3" t="n">
        <v>4070040</v>
      </c>
    </row>
    <row r="1276">
      <c r="A1276" t="inlineStr">
        <is>
          <t>累計 Year 2030</t>
        </is>
      </c>
      <c r="B1276" t="inlineStr">
        <is>
          <t>C/9260C</t>
        </is>
      </c>
      <c r="C1276" t="inlineStr">
        <is>
          <t>中華郵政信維</t>
        </is>
      </c>
      <c r="D1276" t="inlineStr">
        <is>
          <t>內部</t>
        </is>
      </c>
      <c r="E1276" t="inlineStr">
        <is>
          <t>內案</t>
        </is>
      </c>
      <c r="F1276" s="3" t="n">
        <v>5460178</v>
      </c>
      <c r="G1276" s="3" t="n">
        <v>2358714</v>
      </c>
      <c r="H1276" s="3" t="n">
        <v>7818892</v>
      </c>
      <c r="I1276" s="3" t="n">
        <v>0</v>
      </c>
      <c r="J1276" s="3" t="n">
        <v>11482667</v>
      </c>
    </row>
    <row r="1277">
      <c r="A1277" t="inlineStr">
        <is>
          <t>累計 Year 2030</t>
        </is>
      </c>
      <c r="B1277" t="inlineStr">
        <is>
          <t>C/9260D</t>
        </is>
      </c>
      <c r="C1277" t="inlineStr">
        <is>
          <t>大安復興</t>
        </is>
      </c>
      <c r="D1277" t="inlineStr">
        <is>
          <t>內部</t>
        </is>
      </c>
      <c r="E1277" t="inlineStr">
        <is>
          <t>內案</t>
        </is>
      </c>
      <c r="F1277" s="3" t="n">
        <v>788888</v>
      </c>
      <c r="G1277" s="3" t="n">
        <v>313429</v>
      </c>
      <c r="H1277" s="3" t="n">
        <v>1102317</v>
      </c>
      <c r="I1277" s="3" t="n">
        <v>0</v>
      </c>
      <c r="J1277" s="3" t="n">
        <v>1960000</v>
      </c>
    </row>
    <row r="1278">
      <c r="A1278" t="inlineStr">
        <is>
          <t>累計 Year 2030</t>
        </is>
      </c>
      <c r="B1278" t="inlineStr">
        <is>
          <t>C/9100B_26</t>
        </is>
      </c>
      <c r="C1278" t="inlineStr">
        <is>
          <t>新取得BIM建築-26年</t>
        </is>
      </c>
      <c r="D1278" t="inlineStr">
        <is>
          <t>內部</t>
        </is>
      </c>
      <c r="E1278" t="inlineStr">
        <is>
          <t>內案</t>
        </is>
      </c>
      <c r="F1278" s="3" t="n">
        <v>0</v>
      </c>
      <c r="G1278" s="3" t="n">
        <v>0</v>
      </c>
      <c r="H1278" s="3" t="n">
        <v>0</v>
      </c>
      <c r="I1278" s="3" t="n">
        <v>0</v>
      </c>
      <c r="J1278" s="3" t="n">
        <v>0</v>
      </c>
    </row>
    <row r="1279">
      <c r="A1279" t="inlineStr">
        <is>
          <t>累計 Year 2030</t>
        </is>
      </c>
      <c r="B1279" t="inlineStr">
        <is>
          <t>C/9100A_27</t>
        </is>
      </c>
      <c r="C1279" t="inlineStr">
        <is>
          <t>新取得BIM建築-26年</t>
        </is>
      </c>
      <c r="D1279" t="inlineStr">
        <is>
          <t>內部</t>
        </is>
      </c>
      <c r="E1279" t="inlineStr">
        <is>
          <t>內案</t>
        </is>
      </c>
      <c r="F1279" s="3" t="n">
        <v>0</v>
      </c>
      <c r="G1279" s="3" t="n">
        <v>0</v>
      </c>
      <c r="H1279" s="3" t="n">
        <v>0</v>
      </c>
      <c r="I1279" s="3" t="n">
        <v>0</v>
      </c>
      <c r="J1279" s="3" t="n">
        <v>0</v>
      </c>
    </row>
    <row r="1280">
      <c r="A1280" t="inlineStr">
        <is>
          <t>累計 Year 2030</t>
        </is>
      </c>
      <c r="B1280" t="inlineStr">
        <is>
          <t>C/9100B_27</t>
        </is>
      </c>
      <c r="C1280" t="inlineStr">
        <is>
          <t>新取得BIM建築-27年</t>
        </is>
      </c>
      <c r="D1280" t="inlineStr">
        <is>
          <t>內部</t>
        </is>
      </c>
      <c r="E1280" t="inlineStr">
        <is>
          <t>內案</t>
        </is>
      </c>
      <c r="F1280" s="3" t="n">
        <v>30634697</v>
      </c>
      <c r="G1280" s="3" t="n">
        <v>11595624</v>
      </c>
      <c r="H1280" s="3" t="n">
        <v>42230321</v>
      </c>
      <c r="I1280" s="3" t="n">
        <v>0</v>
      </c>
      <c r="J1280" s="3" t="n">
        <v>42561500</v>
      </c>
    </row>
    <row r="1281">
      <c r="A1281" t="inlineStr">
        <is>
          <t>累計 Year 2030</t>
        </is>
      </c>
      <c r="B1281" t="inlineStr">
        <is>
          <t>C/9100C_27</t>
        </is>
      </c>
      <c r="C1281" t="inlineStr">
        <is>
          <t>新取得BIM建築-28年</t>
        </is>
      </c>
      <c r="D1281" t="inlineStr">
        <is>
          <t>內部</t>
        </is>
      </c>
      <c r="E1281" t="inlineStr">
        <is>
          <t>內案</t>
        </is>
      </c>
      <c r="F1281" s="3" t="n">
        <v>21046863</v>
      </c>
      <c r="G1281" s="3" t="n">
        <v>7936256</v>
      </c>
      <c r="H1281" s="3" t="n">
        <v>28983119</v>
      </c>
      <c r="I1281" s="3" t="n">
        <v>0</v>
      </c>
      <c r="J1281" s="3" t="n">
        <v>29355000</v>
      </c>
    </row>
    <row r="1282">
      <c r="A1282" t="inlineStr">
        <is>
          <t>累計 Year 2030</t>
        </is>
      </c>
      <c r="B1282" t="inlineStr">
        <is>
          <t>C/9100D_27</t>
        </is>
      </c>
      <c r="C1282" t="inlineStr">
        <is>
          <t>新取得BIM建築-29年</t>
        </is>
      </c>
      <c r="D1282" t="inlineStr">
        <is>
          <t>內部</t>
        </is>
      </c>
      <c r="E1282" t="inlineStr">
        <is>
          <t>內案</t>
        </is>
      </c>
      <c r="F1282" s="3" t="n">
        <v>12849264</v>
      </c>
      <c r="G1282" s="3" t="n">
        <v>4883623</v>
      </c>
      <c r="H1282" s="3" t="n">
        <v>17732887</v>
      </c>
      <c r="I1282" s="3" t="n">
        <v>0</v>
      </c>
      <c r="J1282" s="3" t="n">
        <v>17548000</v>
      </c>
    </row>
    <row r="1283">
      <c r="A1283" t="inlineStr">
        <is>
          <t>累計 Year 2030</t>
        </is>
      </c>
      <c r="B1283" t="inlineStr">
        <is>
          <t>C/9100E_27</t>
        </is>
      </c>
      <c r="C1283" t="inlineStr">
        <is>
          <t>新取得BIM建築-30年</t>
        </is>
      </c>
      <c r="D1283" t="inlineStr">
        <is>
          <t>內部</t>
        </is>
      </c>
      <c r="E1283" t="inlineStr">
        <is>
          <t>內案</t>
        </is>
      </c>
      <c r="F1283" s="3" t="n">
        <v>8548364</v>
      </c>
      <c r="G1283" s="3" t="n">
        <v>3101905</v>
      </c>
      <c r="H1283" s="3" t="n">
        <v>11650269</v>
      </c>
      <c r="I1283" s="3" t="n">
        <v>0</v>
      </c>
      <c r="J1283" s="3" t="n">
        <v>11879000</v>
      </c>
    </row>
    <row r="1284">
      <c r="A1284" t="inlineStr">
        <is>
          <t>累計 Year 2030</t>
        </is>
      </c>
      <c r="B1284" t="inlineStr">
        <is>
          <t>C/9100F_27</t>
        </is>
      </c>
      <c r="C1284" t="inlineStr">
        <is>
          <t>新取得BIM建築-31年</t>
        </is>
      </c>
      <c r="D1284" t="inlineStr">
        <is>
          <t>內部</t>
        </is>
      </c>
      <c r="E1284" t="inlineStr">
        <is>
          <t>內案</t>
        </is>
      </c>
      <c r="F1284" s="3" t="n">
        <v>0</v>
      </c>
      <c r="G1284" s="3" t="n">
        <v>0</v>
      </c>
      <c r="H1284" s="3" t="n">
        <v>0</v>
      </c>
      <c r="I1284" s="3" t="n">
        <v>0</v>
      </c>
      <c r="J1284" s="3" t="n">
        <v>0</v>
      </c>
    </row>
    <row r="1285">
      <c r="A1285" t="inlineStr">
        <is>
          <t>累計 Year 2030</t>
        </is>
      </c>
      <c r="B1285" t="inlineStr">
        <is>
          <t>C/99992</t>
        </is>
      </c>
      <c r="C1285" t="inlineStr">
        <is>
          <t>雜項BIM土木機電</t>
        </is>
      </c>
      <c r="D1285" t="inlineStr">
        <is>
          <t>內/無</t>
        </is>
      </c>
      <c r="E1285" t="inlineStr">
        <is>
          <t>雜項</t>
        </is>
      </c>
      <c r="F1285" s="3" t="n">
        <v>3106770</v>
      </c>
      <c r="G1285" s="3" t="n">
        <v>1792230</v>
      </c>
      <c r="H1285" s="3" t="n">
        <v>4899000</v>
      </c>
      <c r="I1285" s="3" t="n">
        <v>0</v>
      </c>
      <c r="J1285" s="3" t="n">
        <v>5915700</v>
      </c>
    </row>
    <row r="1286">
      <c r="A1286" t="inlineStr">
        <is>
          <t>累計 Year 2030</t>
        </is>
      </c>
      <c r="B1286" t="inlineStr">
        <is>
          <t>C/99992-1</t>
        </is>
      </c>
      <c r="C1286" t="inlineStr">
        <is>
          <t>雜項BIM土木機電(外案收入)</t>
        </is>
      </c>
      <c r="D1286" t="inlineStr">
        <is>
          <t>外部</t>
        </is>
      </c>
      <c r="E1286" t="inlineStr">
        <is>
          <t>外案</t>
        </is>
      </c>
      <c r="F1286" s="3" t="n">
        <v>39200</v>
      </c>
      <c r="G1286" s="3" t="n">
        <v>13300</v>
      </c>
      <c r="H1286" s="3" t="n">
        <v>52500</v>
      </c>
      <c r="I1286" s="3" t="n">
        <v>0</v>
      </c>
      <c r="J1286" s="3" t="n">
        <v>267500</v>
      </c>
    </row>
    <row r="1287">
      <c r="A1287" t="inlineStr">
        <is>
          <t>累計 Year 2030</t>
        </is>
      </c>
      <c r="B1287" t="inlineStr">
        <is>
          <t>C/99993</t>
        </is>
      </c>
      <c r="C1287" t="inlineStr">
        <is>
          <t>備標BIM土木機電</t>
        </is>
      </c>
      <c r="D1287" t="inlineStr">
        <is>
          <t>備標</t>
        </is>
      </c>
      <c r="E1287" t="inlineStr">
        <is>
          <t>備標</t>
        </is>
      </c>
      <c r="F1287" s="3" t="n">
        <v>1734741</v>
      </c>
      <c r="G1287" s="3" t="n">
        <v>1906759</v>
      </c>
      <c r="H1287" s="3" t="n">
        <v>3641500</v>
      </c>
      <c r="I1287" s="3" t="n">
        <v>0</v>
      </c>
      <c r="J1287" s="3" t="n">
        <v>7631600</v>
      </c>
    </row>
    <row r="1288">
      <c r="A1288" t="inlineStr">
        <is>
          <t>累計 Year 2030</t>
        </is>
      </c>
      <c r="B1288" t="inlineStr">
        <is>
          <t>C/9999B</t>
        </is>
      </c>
      <c r="C1288" t="inlineStr">
        <is>
          <t>雜項BIM建築</t>
        </is>
      </c>
      <c r="D1288" t="inlineStr">
        <is>
          <t>內/無</t>
        </is>
      </c>
      <c r="E1288" t="inlineStr">
        <is>
          <t>雜項</t>
        </is>
      </c>
      <c r="F1288" s="3" t="n">
        <v>1359204</v>
      </c>
      <c r="G1288" s="3" t="n">
        <v>385796</v>
      </c>
      <c r="H1288" s="3" t="n">
        <v>1745000</v>
      </c>
      <c r="I1288" s="3" t="n">
        <v>0</v>
      </c>
      <c r="J1288" s="3" t="n">
        <v>3375000</v>
      </c>
    </row>
    <row r="1289">
      <c r="A1289" t="inlineStr">
        <is>
          <t>累計 Year 2030</t>
        </is>
      </c>
      <c r="B1289" t="inlineStr">
        <is>
          <t>C/9999D</t>
        </is>
      </c>
      <c r="C1289" t="inlineStr">
        <is>
          <t>備標BIM建築</t>
        </is>
      </c>
      <c r="D1289" t="inlineStr">
        <is>
          <t>備標</t>
        </is>
      </c>
      <c r="E1289" t="inlineStr">
        <is>
          <t>備標</t>
        </is>
      </c>
      <c r="F1289" s="3" t="n">
        <v>1684733</v>
      </c>
      <c r="G1289" s="3" t="n">
        <v>-389733</v>
      </c>
      <c r="H1289" s="3" t="n">
        <v>1295000</v>
      </c>
      <c r="I1289" s="3" t="n">
        <v>0</v>
      </c>
      <c r="J1289" s="3" t="n">
        <v>2015000</v>
      </c>
    </row>
    <row r="1290">
      <c r="A1290" t="inlineStr">
        <is>
          <t>Year 2031</t>
        </is>
      </c>
      <c r="B1290" t="inlineStr">
        <is>
          <t>C/92103</t>
        </is>
      </c>
      <c r="C1290" t="inlineStr">
        <is>
          <t>CQ840 BIM</t>
        </is>
      </c>
      <c r="D1290" t="inlineStr">
        <is>
          <t>內部</t>
        </is>
      </c>
      <c r="E1290" t="inlineStr">
        <is>
          <t>內案</t>
        </is>
      </c>
      <c r="F1290" s="3" t="n">
        <v>0</v>
      </c>
      <c r="G1290" s="3" t="n">
        <v>0</v>
      </c>
      <c r="H1290" s="3" t="n">
        <v>0</v>
      </c>
      <c r="I1290" s="3" t="n">
        <v>0</v>
      </c>
      <c r="J1290" s="3" t="n">
        <v>0</v>
      </c>
    </row>
    <row r="1291">
      <c r="A1291" t="inlineStr">
        <is>
          <t>Year 2031</t>
        </is>
      </c>
      <c r="B1291" t="inlineStr">
        <is>
          <t>C/92202</t>
        </is>
      </c>
      <c r="C1291" t="inlineStr">
        <is>
          <t>CF680C BIM</t>
        </is>
      </c>
      <c r="D1291" t="inlineStr">
        <is>
          <t>內部</t>
        </is>
      </c>
      <c r="E1291" t="inlineStr">
        <is>
          <t>內案</t>
        </is>
      </c>
      <c r="F1291" s="3" t="n">
        <v>0</v>
      </c>
      <c r="G1291" s="3" t="n">
        <v>0</v>
      </c>
      <c r="H1291" s="3" t="n">
        <v>0</v>
      </c>
      <c r="I1291" s="3" t="n">
        <v>0</v>
      </c>
      <c r="J1291" s="3" t="n">
        <v>0</v>
      </c>
    </row>
    <row r="1292">
      <c r="A1292" t="inlineStr">
        <is>
          <t>Year 2031</t>
        </is>
      </c>
      <c r="B1292" t="inlineStr">
        <is>
          <t>C/92203</t>
        </is>
      </c>
      <c r="C1292" t="inlineStr">
        <is>
          <t>N－WH BIM</t>
        </is>
      </c>
      <c r="D1292" t="inlineStr">
        <is>
          <t>內部</t>
        </is>
      </c>
      <c r="E1292" t="inlineStr">
        <is>
          <t>內案</t>
        </is>
      </c>
      <c r="F1292" s="3" t="n">
        <v>0</v>
      </c>
      <c r="G1292" s="3" t="n">
        <v>0</v>
      </c>
      <c r="H1292" s="3" t="n">
        <v>0</v>
      </c>
      <c r="I1292" s="3" t="n">
        <v>0</v>
      </c>
      <c r="J1292" s="3" t="n">
        <v>0</v>
      </c>
    </row>
    <row r="1293">
      <c r="A1293" t="inlineStr">
        <is>
          <t>Year 2031</t>
        </is>
      </c>
      <c r="B1293" t="inlineStr">
        <is>
          <t>C/92204</t>
        </is>
      </c>
      <c r="C1293" t="inlineStr">
        <is>
          <t>國揚吉林機電</t>
        </is>
      </c>
      <c r="D1293" t="inlineStr">
        <is>
          <t>內部</t>
        </is>
      </c>
      <c r="E1293" t="inlineStr">
        <is>
          <t>內案</t>
        </is>
      </c>
      <c r="F1293" s="3" t="n">
        <v>0</v>
      </c>
      <c r="G1293" s="3" t="n">
        <v>0</v>
      </c>
      <c r="H1293" s="3" t="n">
        <v>0</v>
      </c>
      <c r="I1293" s="3" t="n">
        <v>0</v>
      </c>
      <c r="J1293" s="3" t="n">
        <v>0</v>
      </c>
    </row>
    <row r="1294">
      <c r="A1294" t="inlineStr">
        <is>
          <t>Year 2031</t>
        </is>
      </c>
      <c r="B1294" t="inlineStr">
        <is>
          <t>C/92301</t>
        </is>
      </c>
      <c r="C1294" t="inlineStr">
        <is>
          <t>CF670A BIM 土木機電</t>
        </is>
      </c>
      <c r="D1294" t="inlineStr">
        <is>
          <t>內部</t>
        </is>
      </c>
      <c r="E1294" t="inlineStr">
        <is>
          <t>內案</t>
        </is>
      </c>
      <c r="F1294" s="3" t="n">
        <v>709714</v>
      </c>
      <c r="G1294" s="3" t="n">
        <v>81514</v>
      </c>
      <c r="H1294" s="3" t="n">
        <v>791228</v>
      </c>
      <c r="I1294" s="3" t="n">
        <v>0</v>
      </c>
      <c r="J1294" s="3" t="n">
        <v>3961000</v>
      </c>
    </row>
    <row r="1295">
      <c r="A1295" t="inlineStr">
        <is>
          <t>Year 2031</t>
        </is>
      </c>
      <c r="B1295" t="inlineStr">
        <is>
          <t>C/92302</t>
        </is>
      </c>
      <c r="C1295" t="inlineStr">
        <is>
          <t>富邦忠孝懷生BIM機電</t>
        </is>
      </c>
      <c r="D1295" t="inlineStr">
        <is>
          <t>內部</t>
        </is>
      </c>
      <c r="E1295" t="inlineStr">
        <is>
          <t>內案</t>
        </is>
      </c>
      <c r="F1295" s="3" t="n">
        <v>0</v>
      </c>
      <c r="G1295" s="3" t="n">
        <v>0</v>
      </c>
      <c r="H1295" s="3" t="n">
        <v>0</v>
      </c>
      <c r="I1295" s="3" t="n">
        <v>0</v>
      </c>
      <c r="J1295" s="3" t="n">
        <v>0</v>
      </c>
    </row>
    <row r="1296">
      <c r="A1296" t="inlineStr">
        <is>
          <t>Year 2031</t>
        </is>
      </c>
      <c r="B1296" t="inlineStr">
        <is>
          <t>C/92303</t>
        </is>
      </c>
      <c r="C1296" t="inlineStr">
        <is>
          <t>信義兒福BIM機電</t>
        </is>
      </c>
      <c r="D1296" t="inlineStr">
        <is>
          <t>外部</t>
        </is>
      </c>
      <c r="E1296" t="inlineStr">
        <is>
          <t>外案</t>
        </is>
      </c>
      <c r="F1296" s="3" t="n">
        <v>0</v>
      </c>
      <c r="G1296" s="3" t="n">
        <v>0</v>
      </c>
      <c r="H1296" s="3" t="n">
        <v>0</v>
      </c>
      <c r="I1296" s="3" t="n">
        <v>0</v>
      </c>
      <c r="J1296" s="3" t="n">
        <v>0</v>
      </c>
    </row>
    <row r="1297">
      <c r="A1297" t="inlineStr">
        <is>
          <t>Year 2031</t>
        </is>
      </c>
      <c r="B1297" t="inlineStr">
        <is>
          <t>C/92304</t>
        </is>
      </c>
      <c r="C1297" t="inlineStr">
        <is>
          <t>捷運劍潭站TOD統包BIM機電</t>
        </is>
      </c>
      <c r="D1297" t="inlineStr">
        <is>
          <t>內部</t>
        </is>
      </c>
      <c r="E1297" t="inlineStr">
        <is>
          <t>內案</t>
        </is>
      </c>
      <c r="F1297" s="3" t="n">
        <v>0</v>
      </c>
      <c r="G1297" s="3" t="n">
        <v>0</v>
      </c>
      <c r="H1297" s="3" t="n">
        <v>0</v>
      </c>
      <c r="I1297" s="3" t="n">
        <v>0</v>
      </c>
      <c r="J1297" s="3" t="n">
        <v>0</v>
      </c>
    </row>
    <row r="1298">
      <c r="A1298" t="inlineStr">
        <is>
          <t>Year 2031</t>
        </is>
      </c>
      <c r="B1298" t="inlineStr">
        <is>
          <t>C/92401</t>
        </is>
      </c>
      <c r="C1298" t="inlineStr">
        <is>
          <t>CJ17 土木機電</t>
        </is>
      </c>
      <c r="D1298" t="inlineStr">
        <is>
          <t>內部</t>
        </is>
      </c>
      <c r="E1298" t="inlineStr">
        <is>
          <t>內案</t>
        </is>
      </c>
      <c r="F1298" s="3" t="n">
        <v>1702353</v>
      </c>
      <c r="G1298" s="3" t="n">
        <v>824175</v>
      </c>
      <c r="H1298" s="3" t="n">
        <v>2526528</v>
      </c>
      <c r="I1298" s="3" t="n">
        <v>0</v>
      </c>
      <c r="J1298" s="3" t="n">
        <v>2050000</v>
      </c>
    </row>
    <row r="1299">
      <c r="A1299" t="inlineStr">
        <is>
          <t>Year 2031</t>
        </is>
      </c>
      <c r="B1299" t="inlineStr">
        <is>
          <t>C/92501</t>
        </is>
      </c>
      <c r="C1299" t="inlineStr">
        <is>
          <t>CF670 BIM土木機電</t>
        </is>
      </c>
      <c r="D1299" t="inlineStr">
        <is>
          <t>內部</t>
        </is>
      </c>
      <c r="E1299" t="inlineStr">
        <is>
          <t>內案</t>
        </is>
      </c>
      <c r="F1299" s="3" t="n">
        <v>1127480</v>
      </c>
      <c r="G1299" s="3" t="n">
        <v>538417</v>
      </c>
      <c r="H1299" s="3" t="n">
        <v>1665897</v>
      </c>
      <c r="I1299" s="3" t="n">
        <v>0</v>
      </c>
      <c r="J1299" s="3" t="n">
        <v>3297750</v>
      </c>
    </row>
    <row r="1300">
      <c r="A1300" t="inlineStr">
        <is>
          <t>Year 2031</t>
        </is>
      </c>
      <c r="B1300" t="inlineStr">
        <is>
          <t>C/92502</t>
        </is>
      </c>
      <c r="C1300" t="inlineStr">
        <is>
          <t>擎邦-聯發科機電</t>
        </is>
      </c>
      <c r="D1300" t="inlineStr">
        <is>
          <t>外部</t>
        </is>
      </c>
      <c r="E1300" t="inlineStr">
        <is>
          <t>外案</t>
        </is>
      </c>
      <c r="F1300" s="3" t="n">
        <v>0</v>
      </c>
      <c r="G1300" s="3" t="n">
        <v>0</v>
      </c>
      <c r="H1300" s="3" t="n">
        <v>0</v>
      </c>
      <c r="I1300" s="3" t="n">
        <v>0</v>
      </c>
      <c r="J1300" s="3" t="n">
        <v>0</v>
      </c>
    </row>
    <row r="1301">
      <c r="A1301" t="inlineStr">
        <is>
          <t>Year 2031</t>
        </is>
      </c>
      <c r="B1301" t="inlineStr">
        <is>
          <t>C/92503</t>
        </is>
      </c>
      <c r="C1301" t="inlineStr">
        <is>
          <t>CF690B BIM土木</t>
        </is>
      </c>
      <c r="D1301" t="inlineStr">
        <is>
          <t>外部</t>
        </is>
      </c>
      <c r="E1301" t="inlineStr">
        <is>
          <t>外案</t>
        </is>
      </c>
      <c r="F1301" s="3" t="n">
        <v>680680</v>
      </c>
      <c r="G1301" s="3" t="n">
        <v>283824</v>
      </c>
      <c r="H1301" s="3" t="n">
        <v>964504</v>
      </c>
      <c r="I1301" s="3" t="n">
        <v>0</v>
      </c>
      <c r="J1301" s="3" t="n">
        <v>1204100</v>
      </c>
    </row>
    <row r="1302">
      <c r="A1302" t="inlineStr">
        <is>
          <t>Year 2031</t>
        </is>
      </c>
      <c r="B1302" t="inlineStr">
        <is>
          <t>C/92504</t>
        </is>
      </c>
      <c r="C1302" t="inlineStr">
        <is>
          <t>擎邦-員榮總醫院BIM</t>
        </is>
      </c>
      <c r="D1302" t="inlineStr">
        <is>
          <t>外部</t>
        </is>
      </c>
      <c r="E1302" t="inlineStr">
        <is>
          <t>外案</t>
        </is>
      </c>
      <c r="F1302" s="3" t="n">
        <v>0</v>
      </c>
      <c r="G1302" s="3" t="n">
        <v>0</v>
      </c>
      <c r="H1302" s="3" t="n">
        <v>0</v>
      </c>
      <c r="I1302" s="3" t="n">
        <v>0</v>
      </c>
      <c r="J1302" s="3" t="n">
        <v>0</v>
      </c>
    </row>
    <row r="1303">
      <c r="A1303" t="inlineStr">
        <is>
          <t>Year 2031</t>
        </is>
      </c>
      <c r="B1303" t="inlineStr">
        <is>
          <t>C/92601</t>
        </is>
      </c>
      <c r="C1303" t="inlineStr">
        <is>
          <t>擎邦-聯發科銅鑼</t>
        </is>
      </c>
      <c r="D1303" t="inlineStr">
        <is>
          <t>外部</t>
        </is>
      </c>
      <c r="E1303" t="inlineStr">
        <is>
          <t>外案</t>
        </is>
      </c>
      <c r="F1303" s="3" t="n">
        <v>0</v>
      </c>
      <c r="G1303" s="3" t="n">
        <v>0</v>
      </c>
      <c r="H1303" s="3" t="n">
        <v>0</v>
      </c>
      <c r="I1303" s="3" t="n">
        <v>0</v>
      </c>
      <c r="J1303" s="3" t="n">
        <v>0</v>
      </c>
    </row>
    <row r="1304">
      <c r="A1304" t="inlineStr">
        <is>
          <t>Year 2031</t>
        </is>
      </c>
      <c r="B1304" t="inlineStr">
        <is>
          <t>C/92602</t>
        </is>
      </c>
      <c r="C1304" t="inlineStr">
        <is>
          <t>擎邦-CF624F機電(CF690B機電)</t>
        </is>
      </c>
      <c r="D1304" t="inlineStr">
        <is>
          <t>外部</t>
        </is>
      </c>
      <c r="E1304" t="inlineStr">
        <is>
          <t>外案</t>
        </is>
      </c>
      <c r="F1304" s="3" t="n">
        <v>2652689</v>
      </c>
      <c r="G1304" s="3" t="n">
        <v>1237778</v>
      </c>
      <c r="H1304" s="3" t="n">
        <v>3890467</v>
      </c>
      <c r="I1304" s="3" t="n">
        <v>0</v>
      </c>
      <c r="J1304" s="3" t="n">
        <v>1558000</v>
      </c>
    </row>
    <row r="1305">
      <c r="A1305" t="inlineStr">
        <is>
          <t>Year 2031</t>
        </is>
      </c>
      <c r="B1305" t="inlineStr">
        <is>
          <t>C/92603</t>
        </is>
      </c>
      <c r="C1305" t="inlineStr">
        <is>
          <t>中華郵政信維機電</t>
        </is>
      </c>
      <c r="D1305" t="inlineStr">
        <is>
          <t>內部</t>
        </is>
      </c>
      <c r="E1305" t="inlineStr">
        <is>
          <t>內案</t>
        </is>
      </c>
      <c r="F1305" s="3" t="n">
        <v>1644143</v>
      </c>
      <c r="G1305" s="3" t="n">
        <v>807212</v>
      </c>
      <c r="H1305" s="3" t="n">
        <v>2451355</v>
      </c>
      <c r="I1305" s="3" t="n">
        <v>0</v>
      </c>
      <c r="J1305" s="3" t="n">
        <v>0</v>
      </c>
    </row>
    <row r="1306">
      <c r="A1306" t="inlineStr">
        <is>
          <t>Year 2031</t>
        </is>
      </c>
      <c r="B1306" t="inlineStr">
        <is>
          <t>C/91001_26</t>
        </is>
      </c>
      <c r="C1306" t="inlineStr">
        <is>
          <t>新取得BIM土木機電-26年</t>
        </is>
      </c>
      <c r="D1306" t="inlineStr">
        <is>
          <t>內部</t>
        </is>
      </c>
      <c r="E1306" t="inlineStr">
        <is>
          <t>內案</t>
        </is>
      </c>
      <c r="F1306" s="3" t="n">
        <v>0</v>
      </c>
      <c r="G1306" s="3" t="n">
        <v>0</v>
      </c>
      <c r="H1306" s="3" t="n">
        <v>0</v>
      </c>
      <c r="I1306" s="3" t="n">
        <v>0</v>
      </c>
      <c r="J1306" s="3" t="n">
        <v>0</v>
      </c>
    </row>
    <row r="1307">
      <c r="A1307" t="inlineStr">
        <is>
          <t>Year 2031</t>
        </is>
      </c>
      <c r="B1307" t="inlineStr">
        <is>
          <t>C/91000_27</t>
        </is>
      </c>
      <c r="C1307" t="inlineStr">
        <is>
          <t>新取得BIM土木機電-26年</t>
        </is>
      </c>
      <c r="D1307" t="inlineStr">
        <is>
          <t>內部</t>
        </is>
      </c>
      <c r="E1307" t="inlineStr">
        <is>
          <t>內案</t>
        </is>
      </c>
      <c r="F1307" s="3" t="n">
        <v>0</v>
      </c>
      <c r="G1307" s="3" t="n">
        <v>0</v>
      </c>
      <c r="H1307" s="3" t="n">
        <v>0</v>
      </c>
      <c r="I1307" s="3" t="n">
        <v>0</v>
      </c>
      <c r="J1307" s="3" t="n">
        <v>0</v>
      </c>
    </row>
    <row r="1308">
      <c r="A1308" t="inlineStr">
        <is>
          <t>Year 2031</t>
        </is>
      </c>
      <c r="B1308" t="inlineStr">
        <is>
          <t>C/91001_27</t>
        </is>
      </c>
      <c r="C1308" t="inlineStr">
        <is>
          <t>新取得BIM土木機電-27年</t>
        </is>
      </c>
      <c r="D1308" t="inlineStr">
        <is>
          <t>內部</t>
        </is>
      </c>
      <c r="E1308" t="inlineStr">
        <is>
          <t>內案</t>
        </is>
      </c>
      <c r="F1308" s="3" t="n">
        <v>7258500</v>
      </c>
      <c r="G1308" s="3" t="n">
        <v>3634404</v>
      </c>
      <c r="H1308" s="3" t="n">
        <v>10892904</v>
      </c>
      <c r="I1308" s="3" t="n">
        <v>0</v>
      </c>
      <c r="J1308" s="3" t="n">
        <v>8200000</v>
      </c>
    </row>
    <row r="1309">
      <c r="A1309" t="inlineStr">
        <is>
          <t>Year 2031</t>
        </is>
      </c>
      <c r="B1309" t="inlineStr">
        <is>
          <t>C/91002_27</t>
        </is>
      </c>
      <c r="C1309" t="inlineStr">
        <is>
          <t>新取得BIM土木機電-28年</t>
        </is>
      </c>
      <c r="D1309" t="inlineStr">
        <is>
          <t>內部</t>
        </is>
      </c>
      <c r="E1309" t="inlineStr">
        <is>
          <t>內案</t>
        </is>
      </c>
      <c r="F1309" s="3" t="n">
        <v>4435100</v>
      </c>
      <c r="G1309" s="3" t="n">
        <v>2173100</v>
      </c>
      <c r="H1309" s="3" t="n">
        <v>6608200</v>
      </c>
      <c r="I1309" s="3" t="n">
        <v>0</v>
      </c>
      <c r="J1309" s="3" t="n">
        <v>4100000</v>
      </c>
    </row>
    <row r="1310">
      <c r="A1310" t="inlineStr">
        <is>
          <t>Year 2031</t>
        </is>
      </c>
      <c r="B1310" t="inlineStr">
        <is>
          <t>C/91003_27</t>
        </is>
      </c>
      <c r="C1310" t="inlineStr">
        <is>
          <t>新取得BIM土木機電-29年</t>
        </is>
      </c>
      <c r="D1310" t="inlineStr">
        <is>
          <t>內部</t>
        </is>
      </c>
      <c r="E1310" t="inlineStr">
        <is>
          <t>內案</t>
        </is>
      </c>
      <c r="F1310" s="3" t="n">
        <v>4435100</v>
      </c>
      <c r="G1310" s="3" t="n">
        <v>2144917</v>
      </c>
      <c r="H1310" s="3" t="n">
        <v>6580017</v>
      </c>
      <c r="I1310" s="3" t="n">
        <v>0</v>
      </c>
      <c r="J1310" s="3" t="n">
        <v>4100000</v>
      </c>
    </row>
    <row r="1311">
      <c r="A1311" t="inlineStr">
        <is>
          <t>Year 2031</t>
        </is>
      </c>
      <c r="B1311" t="inlineStr">
        <is>
          <t>C/91004_27</t>
        </is>
      </c>
      <c r="C1311" t="inlineStr">
        <is>
          <t>新取得BIM土木機電-30年</t>
        </is>
      </c>
      <c r="D1311" t="inlineStr">
        <is>
          <t>內部</t>
        </is>
      </c>
      <c r="E1311" t="inlineStr">
        <is>
          <t>內案</t>
        </is>
      </c>
      <c r="F1311" s="3" t="n">
        <v>4435100</v>
      </c>
      <c r="G1311" s="3" t="n">
        <v>2148886</v>
      </c>
      <c r="H1311" s="3" t="n">
        <v>6583986</v>
      </c>
      <c r="I1311" s="3" t="n">
        <v>0</v>
      </c>
      <c r="J1311" s="3" t="n">
        <v>8200000</v>
      </c>
    </row>
    <row r="1312">
      <c r="A1312" t="inlineStr">
        <is>
          <t>Year 2031</t>
        </is>
      </c>
      <c r="B1312" t="inlineStr">
        <is>
          <t>C/91005_27</t>
        </is>
      </c>
      <c r="C1312" t="inlineStr">
        <is>
          <t>新取得BIM土木機電-31年</t>
        </is>
      </c>
      <c r="D1312" t="inlineStr">
        <is>
          <t>內部</t>
        </is>
      </c>
      <c r="E1312" t="inlineStr">
        <is>
          <t>內案</t>
        </is>
      </c>
      <c r="F1312" s="3" t="n">
        <v>3669250</v>
      </c>
      <c r="G1312" s="3" t="n">
        <v>1775971</v>
      </c>
      <c r="H1312" s="3" t="n">
        <v>5445221</v>
      </c>
      <c r="I1312" s="3" t="n">
        <v>0</v>
      </c>
      <c r="J1312" s="3" t="n">
        <v>8200000</v>
      </c>
    </row>
    <row r="1313">
      <c r="A1313" t="inlineStr">
        <is>
          <t>Year 2031</t>
        </is>
      </c>
      <c r="B1313" t="inlineStr">
        <is>
          <t>C/9210F</t>
        </is>
      </c>
      <c r="C1313" t="inlineStr">
        <is>
          <t>南港機廠BIM建築</t>
        </is>
      </c>
      <c r="D1313" t="inlineStr">
        <is>
          <t>外部</t>
        </is>
      </c>
      <c r="E1313" t="inlineStr">
        <is>
          <t>外案</t>
        </is>
      </c>
      <c r="F1313" s="3" t="n">
        <v>0</v>
      </c>
      <c r="G1313" s="3" t="n">
        <v>0</v>
      </c>
      <c r="H1313" s="3" t="n">
        <v>0</v>
      </c>
      <c r="I1313" s="3" t="n">
        <v>0</v>
      </c>
      <c r="J1313" s="3" t="n">
        <v>0</v>
      </c>
    </row>
    <row r="1314">
      <c r="A1314" t="inlineStr">
        <is>
          <t>Year 2031</t>
        </is>
      </c>
      <c r="B1314" t="inlineStr">
        <is>
          <t>C/9210G</t>
        </is>
      </c>
      <c r="C1314" t="inlineStr">
        <is>
          <t>富邦忠孝懷生BIM建築</t>
        </is>
      </c>
      <c r="D1314" t="inlineStr">
        <is>
          <t>內部</t>
        </is>
      </c>
      <c r="E1314" t="inlineStr">
        <is>
          <t>內案</t>
        </is>
      </c>
      <c r="F1314" s="3" t="n">
        <v>0</v>
      </c>
      <c r="G1314" s="3" t="n">
        <v>0</v>
      </c>
      <c r="H1314" s="3" t="n">
        <v>0</v>
      </c>
      <c r="I1314" s="3" t="n">
        <v>0</v>
      </c>
      <c r="J1314" s="3" t="n">
        <v>0</v>
      </c>
    </row>
    <row r="1315">
      <c r="A1315" t="inlineStr">
        <is>
          <t>Year 2031</t>
        </is>
      </c>
      <c r="B1315" t="inlineStr">
        <is>
          <t>C/9220E</t>
        </is>
      </c>
      <c r="C1315" t="inlineStr">
        <is>
          <t>柏鴻北士科 C/9100A-22A</t>
        </is>
      </c>
      <c r="D1315" t="inlineStr">
        <is>
          <t>內部</t>
        </is>
      </c>
      <c r="E1315" t="inlineStr">
        <is>
          <t>內案</t>
        </is>
      </c>
      <c r="F1315" s="3" t="n">
        <v>0</v>
      </c>
      <c r="G1315" s="3" t="n">
        <v>0</v>
      </c>
      <c r="H1315" s="3" t="n">
        <v>0</v>
      </c>
      <c r="I1315" s="3" t="n">
        <v>0</v>
      </c>
      <c r="J1315" s="3" t="n">
        <v>0</v>
      </c>
    </row>
    <row r="1316">
      <c r="A1316" t="inlineStr">
        <is>
          <t>Year 2031</t>
        </is>
      </c>
      <c r="B1316" t="inlineStr">
        <is>
          <t>C/9230A</t>
        </is>
      </c>
      <c r="C1316" t="inlineStr">
        <is>
          <t>信義兒福BIM建築</t>
        </is>
      </c>
      <c r="D1316" t="inlineStr">
        <is>
          <t>外部</t>
        </is>
      </c>
      <c r="E1316" t="inlineStr">
        <is>
          <t>外案</t>
        </is>
      </c>
      <c r="F1316" s="3" t="n">
        <v>0</v>
      </c>
      <c r="G1316" s="3" t="n">
        <v>0</v>
      </c>
      <c r="H1316" s="3" t="n">
        <v>0</v>
      </c>
      <c r="I1316" s="3" t="n">
        <v>0</v>
      </c>
      <c r="J1316" s="3" t="n">
        <v>0</v>
      </c>
    </row>
    <row r="1317">
      <c r="A1317" t="inlineStr">
        <is>
          <t>Year 2031</t>
        </is>
      </c>
      <c r="B1317" t="inlineStr">
        <is>
          <t>C/9230B</t>
        </is>
      </c>
      <c r="C1317" t="inlineStr">
        <is>
          <t>北捷劍潭TOD</t>
        </is>
      </c>
      <c r="D1317" t="inlineStr">
        <is>
          <t>內部</t>
        </is>
      </c>
      <c r="E1317" t="inlineStr">
        <is>
          <t>內案</t>
        </is>
      </c>
      <c r="F1317" s="3" t="n">
        <v>0</v>
      </c>
      <c r="G1317" s="3" t="n">
        <v>0</v>
      </c>
      <c r="H1317" s="3" t="n">
        <v>0</v>
      </c>
      <c r="I1317" s="3" t="n">
        <v>0</v>
      </c>
      <c r="J1317" s="3" t="n">
        <v>0</v>
      </c>
    </row>
    <row r="1318">
      <c r="A1318" t="inlineStr">
        <is>
          <t>Year 2031</t>
        </is>
      </c>
      <c r="B1318" t="inlineStr">
        <is>
          <t>C/9230C</t>
        </is>
      </c>
      <c r="C1318" t="inlineStr">
        <is>
          <t>慶城福華-23年</t>
        </is>
      </c>
      <c r="D1318" t="inlineStr">
        <is>
          <t>內部</t>
        </is>
      </c>
      <c r="E1318" t="inlineStr">
        <is>
          <t>內案</t>
        </is>
      </c>
      <c r="F1318" s="3" t="n">
        <v>0</v>
      </c>
      <c r="G1318" s="3" t="n">
        <v>0</v>
      </c>
      <c r="H1318" s="3" t="n">
        <v>0</v>
      </c>
      <c r="I1318" s="3" t="n">
        <v>0</v>
      </c>
      <c r="J1318" s="3" t="n">
        <v>0</v>
      </c>
    </row>
    <row r="1319">
      <c r="A1319" t="inlineStr">
        <is>
          <t>Year 2031</t>
        </is>
      </c>
      <c r="B1319" t="inlineStr">
        <is>
          <t>C/9240A</t>
        </is>
      </c>
      <c r="C1319" t="inlineStr">
        <is>
          <t>南港國際一</t>
        </is>
      </c>
      <c r="D1319" t="inlineStr">
        <is>
          <t>內部</t>
        </is>
      </c>
      <c r="E1319" t="inlineStr">
        <is>
          <t>內案</t>
        </is>
      </c>
      <c r="F1319" s="3" t="n">
        <v>0</v>
      </c>
      <c r="G1319" s="3" t="n">
        <v>0</v>
      </c>
      <c r="H1319" s="3" t="n">
        <v>0</v>
      </c>
      <c r="I1319" s="3" t="n">
        <v>0</v>
      </c>
      <c r="J1319" s="3" t="n">
        <v>0</v>
      </c>
    </row>
    <row r="1320">
      <c r="A1320" t="inlineStr">
        <is>
          <t>Year 2031</t>
        </is>
      </c>
      <c r="B1320" t="inlineStr">
        <is>
          <t>C/9240B</t>
        </is>
      </c>
      <c r="C1320" t="inlineStr">
        <is>
          <t xml:space="preserve">台中洲際BIM建築 </t>
        </is>
      </c>
      <c r="D1320" t="inlineStr">
        <is>
          <t>內部</t>
        </is>
      </c>
      <c r="E1320" t="inlineStr">
        <is>
          <t>內案</t>
        </is>
      </c>
      <c r="F1320" s="3" t="n">
        <v>0</v>
      </c>
      <c r="G1320" s="3" t="n">
        <v>0</v>
      </c>
      <c r="H1320" s="3" t="n">
        <v>0</v>
      </c>
      <c r="I1320" s="3" t="n">
        <v>0</v>
      </c>
      <c r="J1320" s="3" t="n">
        <v>0</v>
      </c>
    </row>
    <row r="1321">
      <c r="A1321" t="inlineStr">
        <is>
          <t>Year 2031</t>
        </is>
      </c>
      <c r="B1321" t="inlineStr">
        <is>
          <t>C/9240C</t>
        </is>
      </c>
      <c r="C1321" t="inlineStr">
        <is>
          <t xml:space="preserve">大直金泰BIM建築 </t>
        </is>
      </c>
      <c r="D1321" t="inlineStr">
        <is>
          <t>內部</t>
        </is>
      </c>
      <c r="E1321" t="inlineStr">
        <is>
          <t>內案</t>
        </is>
      </c>
      <c r="F1321" s="3" t="n">
        <v>0</v>
      </c>
      <c r="G1321" s="3" t="n">
        <v>0</v>
      </c>
      <c r="H1321" s="3" t="n">
        <v>0</v>
      </c>
      <c r="I1321" s="3" t="n">
        <v>0</v>
      </c>
      <c r="J1321" s="3" t="n">
        <v>0</v>
      </c>
    </row>
    <row r="1322">
      <c r="A1322" t="inlineStr">
        <is>
          <t>Year 2031</t>
        </is>
      </c>
      <c r="B1322" t="inlineStr">
        <is>
          <t>C/9240D</t>
        </is>
      </c>
      <c r="C1322" t="inlineStr">
        <is>
          <t xml:space="preserve">板橋新雅BIM建築 </t>
        </is>
      </c>
      <c r="D1322" t="inlineStr">
        <is>
          <t>內部</t>
        </is>
      </c>
      <c r="E1322" t="inlineStr">
        <is>
          <t>內案</t>
        </is>
      </c>
      <c r="F1322" s="3" t="n">
        <v>0</v>
      </c>
      <c r="G1322" s="3" t="n">
        <v>0</v>
      </c>
      <c r="H1322" s="3" t="n">
        <v>0</v>
      </c>
      <c r="I1322" s="3" t="n">
        <v>0</v>
      </c>
      <c r="J1322" s="3" t="n">
        <v>0</v>
      </c>
    </row>
    <row r="1323">
      <c r="A1323" t="inlineStr">
        <is>
          <t>Year 2031</t>
        </is>
      </c>
      <c r="B1323" t="inlineStr">
        <is>
          <t>C/9240E</t>
        </is>
      </c>
      <c r="C1323" t="inlineStr">
        <is>
          <t xml:space="preserve">板橋四維BIM建築 </t>
        </is>
      </c>
      <c r="D1323" t="inlineStr">
        <is>
          <t>內部</t>
        </is>
      </c>
      <c r="E1323" t="inlineStr">
        <is>
          <t>內案</t>
        </is>
      </c>
      <c r="F1323" s="3" t="n">
        <v>0</v>
      </c>
      <c r="G1323" s="3" t="n">
        <v>0</v>
      </c>
      <c r="H1323" s="3" t="n">
        <v>0</v>
      </c>
      <c r="I1323" s="3" t="n">
        <v>0</v>
      </c>
      <c r="J1323" s="3" t="n">
        <v>0</v>
      </c>
    </row>
    <row r="1324">
      <c r="A1324" t="inlineStr">
        <is>
          <t>Year 2031</t>
        </is>
      </c>
      <c r="B1324" t="inlineStr">
        <is>
          <t>C/9240F</t>
        </is>
      </c>
      <c r="C1324" t="inlineStr">
        <is>
          <t>台中新美齊</t>
        </is>
      </c>
      <c r="D1324" t="inlineStr">
        <is>
          <t>內部</t>
        </is>
      </c>
      <c r="E1324" t="inlineStr">
        <is>
          <t>內案</t>
        </is>
      </c>
      <c r="F1324" s="3" t="n">
        <v>0</v>
      </c>
      <c r="G1324" s="3" t="n">
        <v>0</v>
      </c>
      <c r="H1324" s="3" t="n">
        <v>0</v>
      </c>
      <c r="I1324" s="3" t="n">
        <v>0</v>
      </c>
      <c r="J1324" s="3" t="n">
        <v>0</v>
      </c>
    </row>
    <row r="1325">
      <c r="A1325" t="inlineStr">
        <is>
          <t>Year 2031</t>
        </is>
      </c>
      <c r="B1325" t="inlineStr">
        <is>
          <t>C/9240G</t>
        </is>
      </c>
      <c r="C1325" t="inlineStr">
        <is>
          <t>晨禎片片山閑</t>
        </is>
      </c>
      <c r="D1325" t="inlineStr">
        <is>
          <t>外部</t>
        </is>
      </c>
      <c r="E1325" t="inlineStr">
        <is>
          <t>外案</t>
        </is>
      </c>
      <c r="F1325" s="3" t="n">
        <v>0</v>
      </c>
      <c r="G1325" s="3" t="n">
        <v>0</v>
      </c>
      <c r="H1325" s="3" t="n">
        <v>0</v>
      </c>
      <c r="I1325" s="3" t="n">
        <v>0</v>
      </c>
      <c r="J1325" s="3" t="n">
        <v>0</v>
      </c>
    </row>
    <row r="1326">
      <c r="A1326" t="inlineStr">
        <is>
          <t>Year 2031</t>
        </is>
      </c>
      <c r="B1326" t="inlineStr">
        <is>
          <t>C/9250A</t>
        </is>
      </c>
      <c r="C1326" t="inlineStr">
        <is>
          <t>南機二區BIM服務</t>
        </is>
      </c>
      <c r="D1326" t="inlineStr">
        <is>
          <t>內部</t>
        </is>
      </c>
      <c r="E1326" t="inlineStr">
        <is>
          <t>內案</t>
        </is>
      </c>
      <c r="F1326" s="3" t="n">
        <v>0</v>
      </c>
      <c r="G1326" s="3" t="n">
        <v>0</v>
      </c>
      <c r="H1326" s="3" t="n">
        <v>0</v>
      </c>
      <c r="I1326" s="3" t="n">
        <v>0</v>
      </c>
      <c r="J1326" s="3" t="n">
        <v>0</v>
      </c>
    </row>
    <row r="1327">
      <c r="A1327" t="inlineStr">
        <is>
          <t>Year 2031</t>
        </is>
      </c>
      <c r="B1327" t="inlineStr">
        <is>
          <t>C/9250B</t>
        </is>
      </c>
      <c r="C1327" t="inlineStr">
        <is>
          <t>璞真南港總部</t>
        </is>
      </c>
      <c r="D1327" t="inlineStr">
        <is>
          <t>內部</t>
        </is>
      </c>
      <c r="E1327" t="inlineStr">
        <is>
          <t>內案</t>
        </is>
      </c>
      <c r="F1327" s="3" t="n">
        <v>0</v>
      </c>
      <c r="G1327" s="3" t="n">
        <v>0</v>
      </c>
      <c r="H1327" s="3" t="n">
        <v>0</v>
      </c>
      <c r="I1327" s="3" t="n">
        <v>0</v>
      </c>
      <c r="J1327" s="3" t="n">
        <v>0</v>
      </c>
    </row>
    <row r="1328">
      <c r="A1328" t="inlineStr">
        <is>
          <t>Year 2031</t>
        </is>
      </c>
      <c r="B1328" t="inlineStr">
        <is>
          <t>C/9250C</t>
        </is>
      </c>
      <c r="C1328" t="inlineStr">
        <is>
          <t>築源南港</t>
        </is>
      </c>
      <c r="D1328" t="inlineStr">
        <is>
          <t>內部</t>
        </is>
      </c>
      <c r="E1328" t="inlineStr">
        <is>
          <t>內案</t>
        </is>
      </c>
      <c r="F1328" s="3" t="n">
        <v>0</v>
      </c>
      <c r="G1328" s="3" t="n">
        <v>0</v>
      </c>
      <c r="H1328" s="3" t="n">
        <v>0</v>
      </c>
      <c r="I1328" s="3" t="n">
        <v>0</v>
      </c>
      <c r="J1328" s="3" t="n">
        <v>0</v>
      </c>
    </row>
    <row r="1329">
      <c r="A1329" t="inlineStr">
        <is>
          <t>Year 2031</t>
        </is>
      </c>
      <c r="B1329" t="inlineStr">
        <is>
          <t>C/9250D</t>
        </is>
      </c>
      <c r="C1329" t="inlineStr">
        <is>
          <t>南港三重</t>
        </is>
      </c>
      <c r="D1329" t="inlineStr">
        <is>
          <t>內部</t>
        </is>
      </c>
      <c r="E1329" t="inlineStr">
        <is>
          <t>內案</t>
        </is>
      </c>
      <c r="F1329" s="3" t="n">
        <v>0</v>
      </c>
      <c r="G1329" s="3" t="n">
        <v>0</v>
      </c>
      <c r="H1329" s="3" t="n">
        <v>0</v>
      </c>
      <c r="I1329" s="3" t="n">
        <v>0</v>
      </c>
      <c r="J1329" s="3" t="n">
        <v>0</v>
      </c>
    </row>
    <row r="1330">
      <c r="A1330" t="inlineStr">
        <is>
          <t>Year 2031</t>
        </is>
      </c>
      <c r="B1330" t="inlineStr">
        <is>
          <t>C/9260A</t>
        </is>
      </c>
      <c r="C1330" t="inlineStr">
        <is>
          <t>台中楓溪</t>
        </is>
      </c>
      <c r="D1330" t="inlineStr">
        <is>
          <t>內部</t>
        </is>
      </c>
      <c r="E1330" t="inlineStr">
        <is>
          <t>內案</t>
        </is>
      </c>
      <c r="F1330" s="3" t="n">
        <v>0</v>
      </c>
      <c r="G1330" s="3" t="n">
        <v>0</v>
      </c>
      <c r="H1330" s="3" t="n">
        <v>0</v>
      </c>
      <c r="I1330" s="3" t="n">
        <v>0</v>
      </c>
      <c r="J1330" s="3" t="n">
        <v>0</v>
      </c>
    </row>
    <row r="1331">
      <c r="A1331" t="inlineStr">
        <is>
          <t>Year 2031</t>
        </is>
      </c>
      <c r="B1331" t="inlineStr">
        <is>
          <t>C/9260B</t>
        </is>
      </c>
      <c r="C1331" t="inlineStr">
        <is>
          <t>樺輝永鑄</t>
        </is>
      </c>
      <c r="D1331" t="inlineStr">
        <is>
          <t>內部</t>
        </is>
      </c>
      <c r="E1331" t="inlineStr">
        <is>
          <t>內案</t>
        </is>
      </c>
      <c r="F1331" s="3" t="n">
        <v>0</v>
      </c>
      <c r="G1331" s="3" t="n">
        <v>0</v>
      </c>
      <c r="H1331" s="3" t="n">
        <v>0</v>
      </c>
      <c r="I1331" s="3" t="n">
        <v>0</v>
      </c>
      <c r="J1331" s="3" t="n">
        <v>0</v>
      </c>
    </row>
    <row r="1332">
      <c r="A1332" t="inlineStr">
        <is>
          <t>Year 2031</t>
        </is>
      </c>
      <c r="B1332" t="inlineStr">
        <is>
          <t>C/9260C</t>
        </is>
      </c>
      <c r="C1332" t="inlineStr">
        <is>
          <t>中華郵政信維</t>
        </is>
      </c>
      <c r="D1332" t="inlineStr">
        <is>
          <t>內部</t>
        </is>
      </c>
      <c r="E1332" t="inlineStr">
        <is>
          <t>內案</t>
        </is>
      </c>
      <c r="F1332" s="3" t="n">
        <v>0</v>
      </c>
      <c r="G1332" s="3" t="n">
        <v>0</v>
      </c>
      <c r="H1332" s="3" t="n">
        <v>0</v>
      </c>
      <c r="I1332" s="3" t="n">
        <v>0</v>
      </c>
      <c r="J1332" s="3" t="n">
        <v>0</v>
      </c>
    </row>
    <row r="1333">
      <c r="A1333" t="inlineStr">
        <is>
          <t>Year 2031</t>
        </is>
      </c>
      <c r="B1333" t="inlineStr">
        <is>
          <t>C/9260D</t>
        </is>
      </c>
      <c r="C1333" t="inlineStr">
        <is>
          <t>大安復興</t>
        </is>
      </c>
      <c r="D1333" t="inlineStr">
        <is>
          <t>內部</t>
        </is>
      </c>
      <c r="E1333" t="inlineStr">
        <is>
          <t>內案</t>
        </is>
      </c>
      <c r="F1333" s="3" t="n">
        <v>0</v>
      </c>
      <c r="G1333" s="3" t="n">
        <v>0</v>
      </c>
      <c r="H1333" s="3" t="n">
        <v>0</v>
      </c>
      <c r="I1333" s="3" t="n">
        <v>0</v>
      </c>
      <c r="J1333" s="3" t="n">
        <v>0</v>
      </c>
    </row>
    <row r="1334">
      <c r="A1334" t="inlineStr">
        <is>
          <t>Year 2031</t>
        </is>
      </c>
      <c r="B1334" t="inlineStr">
        <is>
          <t>C/9100B_26</t>
        </is>
      </c>
      <c r="C1334" t="inlineStr">
        <is>
          <t>新取得BIM建築-26年</t>
        </is>
      </c>
      <c r="D1334" t="inlineStr">
        <is>
          <t>內部</t>
        </is>
      </c>
      <c r="E1334" t="inlineStr">
        <is>
          <t>內案</t>
        </is>
      </c>
      <c r="F1334" s="3" t="n">
        <v>0</v>
      </c>
      <c r="G1334" s="3" t="n">
        <v>0</v>
      </c>
      <c r="H1334" s="3" t="n">
        <v>0</v>
      </c>
      <c r="I1334" s="3" t="n">
        <v>0</v>
      </c>
      <c r="J1334" s="3" t="n">
        <v>0</v>
      </c>
    </row>
    <row r="1335">
      <c r="A1335" t="inlineStr">
        <is>
          <t>Year 2031</t>
        </is>
      </c>
      <c r="B1335" t="inlineStr">
        <is>
          <t>C/9100A_27</t>
        </is>
      </c>
      <c r="C1335" t="inlineStr">
        <is>
          <t>新取得BIM建築-26年</t>
        </is>
      </c>
      <c r="D1335" t="inlineStr">
        <is>
          <t>內部</t>
        </is>
      </c>
      <c r="E1335" t="inlineStr">
        <is>
          <t>內案</t>
        </is>
      </c>
      <c r="F1335" s="3" t="n">
        <v>0</v>
      </c>
      <c r="G1335" s="3" t="n">
        <v>0</v>
      </c>
      <c r="H1335" s="3" t="n">
        <v>0</v>
      </c>
      <c r="I1335" s="3" t="n">
        <v>0</v>
      </c>
      <c r="J1335" s="3" t="n">
        <v>0</v>
      </c>
    </row>
    <row r="1336">
      <c r="A1336" t="inlineStr">
        <is>
          <t>Year 2031</t>
        </is>
      </c>
      <c r="B1336" t="inlineStr">
        <is>
          <t>C/9100B_27</t>
        </is>
      </c>
      <c r="C1336" t="inlineStr">
        <is>
          <t>新取得BIM建築-27年</t>
        </is>
      </c>
      <c r="D1336" t="inlineStr">
        <is>
          <t>內部</t>
        </is>
      </c>
      <c r="E1336" t="inlineStr">
        <is>
          <t>內案</t>
        </is>
      </c>
      <c r="F1336" s="3" t="n">
        <v>2527854</v>
      </c>
      <c r="G1336" s="3" t="n">
        <v>956825</v>
      </c>
      <c r="H1336" s="3" t="n">
        <v>3484679</v>
      </c>
      <c r="I1336" s="3" t="n">
        <v>0</v>
      </c>
      <c r="J1336" s="3" t="n">
        <v>3153500</v>
      </c>
    </row>
    <row r="1337">
      <c r="A1337" t="inlineStr">
        <is>
          <t>Year 2031</t>
        </is>
      </c>
      <c r="B1337" t="inlineStr">
        <is>
          <t>C/9100C_27</t>
        </is>
      </c>
      <c r="C1337" t="inlineStr">
        <is>
          <t>新取得BIM建築-28年</t>
        </is>
      </c>
      <c r="D1337" t="inlineStr">
        <is>
          <t>內部</t>
        </is>
      </c>
      <c r="E1337" t="inlineStr">
        <is>
          <t>內案</t>
        </is>
      </c>
      <c r="F1337" s="3" t="n">
        <v>5845348</v>
      </c>
      <c r="G1337" s="3" t="n">
        <v>2204138</v>
      </c>
      <c r="H1337" s="3" t="n">
        <v>8049486</v>
      </c>
      <c r="I1337" s="3" t="n">
        <v>0</v>
      </c>
      <c r="J1337" s="3" t="n">
        <v>7674000</v>
      </c>
    </row>
    <row r="1338">
      <c r="A1338" t="inlineStr">
        <is>
          <t>Year 2031</t>
        </is>
      </c>
      <c r="B1338" t="inlineStr">
        <is>
          <t>C/9100D_27</t>
        </is>
      </c>
      <c r="C1338" t="inlineStr">
        <is>
          <t>新取得BIM建築-29年</t>
        </is>
      </c>
      <c r="D1338" t="inlineStr">
        <is>
          <t>內部</t>
        </is>
      </c>
      <c r="E1338" t="inlineStr">
        <is>
          <t>內案</t>
        </is>
      </c>
      <c r="F1338" s="3" t="n">
        <v>7258684</v>
      </c>
      <c r="G1338" s="3" t="n">
        <v>2758810</v>
      </c>
      <c r="H1338" s="3" t="n">
        <v>10017494</v>
      </c>
      <c r="I1338" s="3" t="n">
        <v>0</v>
      </c>
      <c r="J1338" s="3" t="n">
        <v>9774000</v>
      </c>
    </row>
    <row r="1339">
      <c r="A1339" t="inlineStr">
        <is>
          <t>Year 2031</t>
        </is>
      </c>
      <c r="B1339" t="inlineStr">
        <is>
          <t>C/9100E_27</t>
        </is>
      </c>
      <c r="C1339" t="inlineStr">
        <is>
          <t>新取得BIM建築-30年</t>
        </is>
      </c>
      <c r="D1339" t="inlineStr">
        <is>
          <t>內部</t>
        </is>
      </c>
      <c r="E1339" t="inlineStr">
        <is>
          <t>內案</t>
        </is>
      </c>
      <c r="F1339" s="3" t="n">
        <v>7558684</v>
      </c>
      <c r="G1339" s="3" t="n">
        <v>2742784</v>
      </c>
      <c r="H1339" s="3" t="n">
        <v>10301468</v>
      </c>
      <c r="I1339" s="3" t="n">
        <v>0</v>
      </c>
      <c r="J1339" s="3" t="n">
        <v>10024000</v>
      </c>
    </row>
    <row r="1340">
      <c r="A1340" t="inlineStr">
        <is>
          <t>Year 2031</t>
        </is>
      </c>
      <c r="B1340" t="inlineStr">
        <is>
          <t>C/9100F_27</t>
        </is>
      </c>
      <c r="C1340" t="inlineStr">
        <is>
          <t>新取得BIM建築-31年</t>
        </is>
      </c>
      <c r="D1340" t="inlineStr">
        <is>
          <t>內部</t>
        </is>
      </c>
      <c r="E1340" t="inlineStr">
        <is>
          <t>內案</t>
        </is>
      </c>
      <c r="F1340" s="3" t="n">
        <v>6065348</v>
      </c>
      <c r="G1340" s="3" t="n">
        <v>2307704</v>
      </c>
      <c r="H1340" s="3" t="n">
        <v>8373052</v>
      </c>
      <c r="I1340" s="3" t="n">
        <v>0</v>
      </c>
      <c r="J1340" s="3" t="n">
        <v>8160000</v>
      </c>
    </row>
    <row r="1341">
      <c r="A1341" t="inlineStr">
        <is>
          <t>Year 2031</t>
        </is>
      </c>
      <c r="B1341" t="inlineStr">
        <is>
          <t>C/99992</t>
        </is>
      </c>
      <c r="C1341" t="inlineStr">
        <is>
          <t>雜項BIM土木機電</t>
        </is>
      </c>
      <c r="D1341" t="inlineStr">
        <is>
          <t>內/無</t>
        </is>
      </c>
      <c r="E1341" t="inlineStr">
        <is>
          <t>雜項</t>
        </is>
      </c>
      <c r="F1341" s="3" t="n">
        <v>60000</v>
      </c>
      <c r="G1341" s="3" t="n">
        <v>-60000</v>
      </c>
      <c r="H1341" s="3" t="n">
        <v>0</v>
      </c>
      <c r="I1341" s="3" t="n">
        <v>0</v>
      </c>
      <c r="J1341" s="3" t="n">
        <v>0</v>
      </c>
    </row>
    <row r="1342">
      <c r="A1342" t="inlineStr">
        <is>
          <t>Year 2031</t>
        </is>
      </c>
      <c r="B1342" t="inlineStr">
        <is>
          <t>C/99992-1</t>
        </is>
      </c>
      <c r="C1342" t="inlineStr">
        <is>
          <t>雜項BIM土木機電(外案收入)</t>
        </is>
      </c>
      <c r="D1342" t="inlineStr">
        <is>
          <t>外部</t>
        </is>
      </c>
      <c r="E1342" t="inlineStr">
        <is>
          <t>外案</t>
        </is>
      </c>
      <c r="F1342" s="3" t="n">
        <v>0</v>
      </c>
      <c r="G1342" s="3" t="n">
        <v>0</v>
      </c>
      <c r="H1342" s="3" t="n">
        <v>0</v>
      </c>
      <c r="I1342" s="3" t="n">
        <v>0</v>
      </c>
      <c r="J1342" s="3" t="n">
        <v>0</v>
      </c>
    </row>
    <row r="1343">
      <c r="A1343" t="inlineStr">
        <is>
          <t>Year 2031</t>
        </is>
      </c>
      <c r="B1343" t="inlineStr">
        <is>
          <t>C/99993</t>
        </is>
      </c>
      <c r="C1343" t="inlineStr">
        <is>
          <t>備標BIM土木機電</t>
        </is>
      </c>
      <c r="D1343" t="inlineStr">
        <is>
          <t>備標</t>
        </is>
      </c>
      <c r="E1343" t="inlineStr">
        <is>
          <t>備標</t>
        </is>
      </c>
      <c r="F1343" s="3" t="n">
        <v>0</v>
      </c>
      <c r="G1343" s="3" t="n">
        <v>0</v>
      </c>
      <c r="H1343" s="3" t="n">
        <v>0</v>
      </c>
      <c r="I1343" s="3" t="n">
        <v>0</v>
      </c>
      <c r="J1343" s="3" t="n">
        <v>0</v>
      </c>
    </row>
    <row r="1344">
      <c r="A1344" t="inlineStr">
        <is>
          <t>Year 2031</t>
        </is>
      </c>
      <c r="B1344" t="inlineStr">
        <is>
          <t>C/9999B</t>
        </is>
      </c>
      <c r="C1344" t="inlineStr">
        <is>
          <t>雜項BIM建築</t>
        </is>
      </c>
      <c r="D1344" t="inlineStr">
        <is>
          <t>內/無</t>
        </is>
      </c>
      <c r="E1344" t="inlineStr">
        <is>
          <t>雜項</t>
        </is>
      </c>
      <c r="F1344" s="3" t="n">
        <v>0</v>
      </c>
      <c r="G1344" s="3" t="n">
        <v>0</v>
      </c>
      <c r="H1344" s="3" t="n">
        <v>0</v>
      </c>
      <c r="I1344" s="3" t="n">
        <v>0</v>
      </c>
      <c r="J1344" s="3" t="n">
        <v>0</v>
      </c>
    </row>
    <row r="1345">
      <c r="A1345" t="inlineStr">
        <is>
          <t>Year 2031</t>
        </is>
      </c>
      <c r="B1345" t="inlineStr">
        <is>
          <t>C/9999D</t>
        </is>
      </c>
      <c r="C1345" t="inlineStr">
        <is>
          <t>備標BIM建築</t>
        </is>
      </c>
      <c r="D1345" t="inlineStr">
        <is>
          <t>備標</t>
        </is>
      </c>
      <c r="E1345" t="inlineStr">
        <is>
          <t>備標</t>
        </is>
      </c>
      <c r="F1345" s="3" t="n">
        <v>0</v>
      </c>
      <c r="G1345" s="3" t="n">
        <v>0</v>
      </c>
      <c r="H1345" s="3" t="n">
        <v>0</v>
      </c>
      <c r="I1345" s="3" t="n">
        <v>0</v>
      </c>
      <c r="J1345" s="3" t="n">
        <v>0</v>
      </c>
    </row>
    <row r="1346">
      <c r="A1346" t="inlineStr">
        <is>
          <t>累計 Year 2031</t>
        </is>
      </c>
      <c r="B1346" t="inlineStr">
        <is>
          <t>C/92103</t>
        </is>
      </c>
      <c r="C1346" t="inlineStr">
        <is>
          <t>CQ840 BIM</t>
        </is>
      </c>
      <c r="D1346" t="inlineStr">
        <is>
          <t>內部</t>
        </is>
      </c>
      <c r="E1346" t="inlineStr">
        <is>
          <t>內案</t>
        </is>
      </c>
      <c r="F1346" s="3" t="n">
        <v>1966785</v>
      </c>
      <c r="G1346" s="3" t="n">
        <v>-334392</v>
      </c>
      <c r="H1346" s="3" t="n">
        <v>1632393</v>
      </c>
      <c r="I1346" s="3" t="n">
        <v>0</v>
      </c>
      <c r="J1346" s="3" t="n">
        <v>1632393</v>
      </c>
    </row>
    <row r="1347">
      <c r="A1347" t="inlineStr">
        <is>
          <t>累計 Year 2031</t>
        </is>
      </c>
      <c r="B1347" t="inlineStr">
        <is>
          <t>C/92202</t>
        </is>
      </c>
      <c r="C1347" t="inlineStr">
        <is>
          <t>CF680C BIM</t>
        </is>
      </c>
      <c r="D1347" t="inlineStr">
        <is>
          <t>內部</t>
        </is>
      </c>
      <c r="E1347" t="inlineStr">
        <is>
          <t>內案</t>
        </is>
      </c>
      <c r="F1347" s="3" t="n">
        <v>16733307</v>
      </c>
      <c r="G1347" s="3" t="n">
        <v>8046693</v>
      </c>
      <c r="H1347" s="3" t="n">
        <v>24780000</v>
      </c>
      <c r="I1347" s="3" t="n">
        <v>0</v>
      </c>
      <c r="J1347" s="3" t="n">
        <v>24780000</v>
      </c>
    </row>
    <row r="1348">
      <c r="A1348" t="inlineStr">
        <is>
          <t>累計 Year 2031</t>
        </is>
      </c>
      <c r="B1348" t="inlineStr">
        <is>
          <t>C/92203</t>
        </is>
      </c>
      <c r="C1348" t="inlineStr">
        <is>
          <t>N－WH BIM</t>
        </is>
      </c>
      <c r="D1348" t="inlineStr">
        <is>
          <t>內部</t>
        </is>
      </c>
      <c r="E1348" t="inlineStr">
        <is>
          <t>內案</t>
        </is>
      </c>
      <c r="F1348" s="3" t="n">
        <v>8457888</v>
      </c>
      <c r="G1348" s="3" t="n">
        <v>2922662</v>
      </c>
      <c r="H1348" s="3" t="n">
        <v>11380550</v>
      </c>
      <c r="I1348" s="3" t="n">
        <v>0</v>
      </c>
      <c r="J1348" s="3" t="n">
        <v>11380550</v>
      </c>
    </row>
    <row r="1349">
      <c r="A1349" t="inlineStr">
        <is>
          <t>累計 Year 2031</t>
        </is>
      </c>
      <c r="B1349" t="inlineStr">
        <is>
          <t>C/92204</t>
        </is>
      </c>
      <c r="C1349" t="inlineStr">
        <is>
          <t>國揚吉林機電</t>
        </is>
      </c>
      <c r="D1349" t="inlineStr">
        <is>
          <t>內部</t>
        </is>
      </c>
      <c r="E1349" t="inlineStr">
        <is>
          <t>內案</t>
        </is>
      </c>
      <c r="F1349" s="3" t="n">
        <v>1258917</v>
      </c>
      <c r="G1349" s="3" t="n">
        <v>691083</v>
      </c>
      <c r="H1349" s="3" t="n">
        <v>1950000</v>
      </c>
      <c r="I1349" s="3" t="n">
        <v>0</v>
      </c>
      <c r="J1349" s="3" t="n">
        <v>1950000</v>
      </c>
    </row>
    <row r="1350">
      <c r="A1350" t="inlineStr">
        <is>
          <t>累計 Year 2031</t>
        </is>
      </c>
      <c r="B1350" t="inlineStr">
        <is>
          <t>C/92301</t>
        </is>
      </c>
      <c r="C1350" t="inlineStr">
        <is>
          <t>CF670A BIM 土木機電</t>
        </is>
      </c>
      <c r="D1350" t="inlineStr">
        <is>
          <t>內部</t>
        </is>
      </c>
      <c r="E1350" t="inlineStr">
        <is>
          <t>內案</t>
        </is>
      </c>
      <c r="F1350" s="3" t="n">
        <v>11435481</v>
      </c>
      <c r="G1350" s="3" t="n">
        <v>1313414</v>
      </c>
      <c r="H1350" s="3" t="n">
        <v>12748895</v>
      </c>
      <c r="I1350" s="3" t="n">
        <v>0</v>
      </c>
      <c r="J1350" s="3" t="n">
        <v>18000000</v>
      </c>
    </row>
    <row r="1351">
      <c r="A1351" t="inlineStr">
        <is>
          <t>累計 Year 2031</t>
        </is>
      </c>
      <c r="B1351" t="inlineStr">
        <is>
          <t>C/92302</t>
        </is>
      </c>
      <c r="C1351" t="inlineStr">
        <is>
          <t>富邦忠孝懷生BIM機電</t>
        </is>
      </c>
      <c r="D1351" t="inlineStr">
        <is>
          <t>內部</t>
        </is>
      </c>
      <c r="E1351" t="inlineStr">
        <is>
          <t>內案</t>
        </is>
      </c>
      <c r="F1351" s="3" t="n">
        <v>4575503</v>
      </c>
      <c r="G1351" s="3" t="n">
        <v>-195503</v>
      </c>
      <c r="H1351" s="3" t="n">
        <v>4380000</v>
      </c>
      <c r="I1351" s="3" t="n">
        <v>0</v>
      </c>
      <c r="J1351" s="3" t="n">
        <v>4380000</v>
      </c>
    </row>
    <row r="1352">
      <c r="A1352" t="inlineStr">
        <is>
          <t>累計 Year 2031</t>
        </is>
      </c>
      <c r="B1352" t="inlineStr">
        <is>
          <t>C/92303</t>
        </is>
      </c>
      <c r="C1352" t="inlineStr">
        <is>
          <t>信義兒福BIM機電</t>
        </is>
      </c>
      <c r="D1352" t="inlineStr">
        <is>
          <t>外部</t>
        </is>
      </c>
      <c r="E1352" t="inlineStr">
        <is>
          <t>外案</t>
        </is>
      </c>
      <c r="F1352" s="3" t="n">
        <v>2838696</v>
      </c>
      <c r="G1352" s="3" t="n">
        <v>686304</v>
      </c>
      <c r="H1352" s="3" t="n">
        <v>3525000</v>
      </c>
      <c r="I1352" s="3" t="n">
        <v>0</v>
      </c>
      <c r="J1352" s="3" t="n">
        <v>3525000</v>
      </c>
    </row>
    <row r="1353">
      <c r="A1353" t="inlineStr">
        <is>
          <t>累計 Year 2031</t>
        </is>
      </c>
      <c r="B1353" t="inlineStr">
        <is>
          <t>C/92304</t>
        </is>
      </c>
      <c r="C1353" t="inlineStr">
        <is>
          <t>捷運劍潭站TOD統包BIM機電</t>
        </is>
      </c>
      <c r="D1353" t="inlineStr">
        <is>
          <t>內部</t>
        </is>
      </c>
      <c r="E1353" t="inlineStr">
        <is>
          <t>內案</t>
        </is>
      </c>
      <c r="F1353" s="3" t="n">
        <v>7041372</v>
      </c>
      <c r="G1353" s="3" t="n">
        <v>758628</v>
      </c>
      <c r="H1353" s="3" t="n">
        <v>7800000</v>
      </c>
      <c r="I1353" s="3" t="n">
        <v>0</v>
      </c>
      <c r="J1353" s="3" t="n">
        <v>7800000</v>
      </c>
    </row>
    <row r="1354">
      <c r="A1354" t="inlineStr">
        <is>
          <t>累計 Year 2031</t>
        </is>
      </c>
      <c r="B1354" t="inlineStr">
        <is>
          <t>C/92401</t>
        </is>
      </c>
      <c r="C1354" t="inlineStr">
        <is>
          <t>CJ17 土木機電</t>
        </is>
      </c>
      <c r="D1354" t="inlineStr">
        <is>
          <t>內部</t>
        </is>
      </c>
      <c r="E1354" t="inlineStr">
        <is>
          <t>內案</t>
        </is>
      </c>
      <c r="F1354" s="3" t="n">
        <v>12058884</v>
      </c>
      <c r="G1354" s="3" t="n">
        <v>5838173</v>
      </c>
      <c r="H1354" s="3" t="n">
        <v>17897057</v>
      </c>
      <c r="I1354" s="3" t="n">
        <v>0</v>
      </c>
      <c r="J1354" s="3" t="n">
        <v>23663000</v>
      </c>
    </row>
    <row r="1355">
      <c r="A1355" t="inlineStr">
        <is>
          <t>累計 Year 2031</t>
        </is>
      </c>
      <c r="B1355" t="inlineStr">
        <is>
          <t>C/92501</t>
        </is>
      </c>
      <c r="C1355" t="inlineStr">
        <is>
          <t>CF670 BIM土木機電</t>
        </is>
      </c>
      <c r="D1355" t="inlineStr">
        <is>
          <t>內部</t>
        </is>
      </c>
      <c r="E1355" t="inlineStr">
        <is>
          <t>內案</t>
        </is>
      </c>
      <c r="F1355" s="3" t="n">
        <v>18957291</v>
      </c>
      <c r="G1355" s="3" t="n">
        <v>9052866</v>
      </c>
      <c r="H1355" s="3" t="n">
        <v>28010157</v>
      </c>
      <c r="I1355" s="3" t="n">
        <v>0</v>
      </c>
      <c r="J1355" s="3" t="n">
        <v>27629500</v>
      </c>
    </row>
    <row r="1356">
      <c r="A1356" t="inlineStr">
        <is>
          <t>累計 Year 2031</t>
        </is>
      </c>
      <c r="B1356" t="inlineStr">
        <is>
          <t>C/92502</t>
        </is>
      </c>
      <c r="C1356" t="inlineStr">
        <is>
          <t>擎邦-聯發科機電</t>
        </is>
      </c>
      <c r="D1356" t="inlineStr">
        <is>
          <t>外部</t>
        </is>
      </c>
      <c r="E1356" t="inlineStr">
        <is>
          <t>外案</t>
        </is>
      </c>
      <c r="F1356" s="3" t="n">
        <v>2812703</v>
      </c>
      <c r="G1356" s="3" t="n">
        <v>2187297</v>
      </c>
      <c r="H1356" s="3" t="n">
        <v>5000000</v>
      </c>
      <c r="I1356" s="3" t="n">
        <v>0</v>
      </c>
      <c r="J1356" s="3" t="n">
        <v>5000000</v>
      </c>
    </row>
    <row r="1357">
      <c r="A1357" t="inlineStr">
        <is>
          <t>累計 Year 2031</t>
        </is>
      </c>
      <c r="B1357" t="inlineStr">
        <is>
          <t>C/92503</t>
        </is>
      </c>
      <c r="C1357" t="inlineStr">
        <is>
          <t>CF690B BIM土木</t>
        </is>
      </c>
      <c r="D1357" t="inlineStr">
        <is>
          <t>外部</t>
        </is>
      </c>
      <c r="E1357" t="inlineStr">
        <is>
          <t>外案</t>
        </is>
      </c>
      <c r="F1357" s="3" t="n">
        <v>4851334</v>
      </c>
      <c r="G1357" s="3" t="n">
        <v>2022863</v>
      </c>
      <c r="H1357" s="3" t="n">
        <v>6874197</v>
      </c>
      <c r="I1357" s="3" t="n">
        <v>0</v>
      </c>
      <c r="J1357" s="3" t="n">
        <v>9058400</v>
      </c>
    </row>
    <row r="1358">
      <c r="A1358" t="inlineStr">
        <is>
          <t>累計 Year 2031</t>
        </is>
      </c>
      <c r="B1358" t="inlineStr">
        <is>
          <t>C/92504</t>
        </is>
      </c>
      <c r="C1358" t="inlineStr">
        <is>
          <t>擎邦-員榮總醫院BIM</t>
        </is>
      </c>
      <c r="D1358" t="inlineStr">
        <is>
          <t>外部</t>
        </is>
      </c>
      <c r="E1358" t="inlineStr">
        <is>
          <t>外案</t>
        </is>
      </c>
      <c r="F1358" s="3" t="n">
        <v>6304845</v>
      </c>
      <c r="G1358" s="3" t="n">
        <v>3095155</v>
      </c>
      <c r="H1358" s="3" t="n">
        <v>9400000</v>
      </c>
      <c r="I1358" s="3" t="n">
        <v>0</v>
      </c>
      <c r="J1358" s="3" t="n">
        <v>9400000</v>
      </c>
    </row>
    <row r="1359">
      <c r="A1359" t="inlineStr">
        <is>
          <t>累計 Year 2031</t>
        </is>
      </c>
      <c r="B1359" t="inlineStr">
        <is>
          <t>C/92601</t>
        </is>
      </c>
      <c r="C1359" t="inlineStr">
        <is>
          <t>擎邦-聯發科銅鑼</t>
        </is>
      </c>
      <c r="D1359" t="inlineStr">
        <is>
          <t>外部</t>
        </is>
      </c>
      <c r="E1359" t="inlineStr">
        <is>
          <t>外案</t>
        </is>
      </c>
      <c r="F1359" s="3" t="n">
        <v>575468</v>
      </c>
      <c r="G1359" s="3" t="n">
        <v>754532</v>
      </c>
      <c r="H1359" s="3" t="n">
        <v>1330000</v>
      </c>
      <c r="I1359" s="3" t="n">
        <v>0</v>
      </c>
      <c r="J1359" s="3" t="n">
        <v>1330000</v>
      </c>
    </row>
    <row r="1360">
      <c r="A1360" t="inlineStr">
        <is>
          <t>累計 Year 2031</t>
        </is>
      </c>
      <c r="B1360" t="inlineStr">
        <is>
          <t>C/92602</t>
        </is>
      </c>
      <c r="C1360" t="inlineStr">
        <is>
          <t>擎邦-CF624F機電(CF690B機電)</t>
        </is>
      </c>
      <c r="D1360" t="inlineStr">
        <is>
          <t>外部</t>
        </is>
      </c>
      <c r="E1360" t="inlineStr">
        <is>
          <t>外案</t>
        </is>
      </c>
      <c r="F1360" s="3" t="n">
        <v>9773257</v>
      </c>
      <c r="G1360" s="3" t="n">
        <v>4560326</v>
      </c>
      <c r="H1360" s="3" t="n">
        <v>14333583</v>
      </c>
      <c r="I1360" s="3" t="n">
        <v>0</v>
      </c>
      <c r="J1360" s="3" t="n">
        <v>10030000</v>
      </c>
    </row>
    <row r="1361">
      <c r="A1361" t="inlineStr">
        <is>
          <t>累計 Year 2031</t>
        </is>
      </c>
      <c r="B1361" t="inlineStr">
        <is>
          <t>C/92603</t>
        </is>
      </c>
      <c r="C1361" t="inlineStr">
        <is>
          <t>中華郵政信維機電</t>
        </is>
      </c>
      <c r="D1361" t="inlineStr">
        <is>
          <t>內部</t>
        </is>
      </c>
      <c r="E1361" t="inlineStr">
        <is>
          <t>內案</t>
        </is>
      </c>
      <c r="F1361" s="3" t="n">
        <v>9923304</v>
      </c>
      <c r="G1361" s="3" t="n">
        <v>4871967</v>
      </c>
      <c r="H1361" s="3" t="n">
        <v>14795271</v>
      </c>
      <c r="I1361" s="3" t="n">
        <v>0</v>
      </c>
      <c r="J1361" s="3" t="n">
        <v>14185500</v>
      </c>
    </row>
    <row r="1362">
      <c r="A1362" t="inlineStr">
        <is>
          <t>累計 Year 2031</t>
        </is>
      </c>
      <c r="B1362" t="inlineStr">
        <is>
          <t>C/91001_26</t>
        </is>
      </c>
      <c r="C1362" t="inlineStr">
        <is>
          <t>新取得BIM土木機電-26年</t>
        </is>
      </c>
      <c r="D1362" t="inlineStr">
        <is>
          <t>內部</t>
        </is>
      </c>
      <c r="E1362" t="inlineStr">
        <is>
          <t>內案</t>
        </is>
      </c>
      <c r="F1362" s="3" t="n">
        <v>0</v>
      </c>
      <c r="G1362" s="3" t="n">
        <v>0</v>
      </c>
      <c r="H1362" s="3" t="n">
        <v>0</v>
      </c>
      <c r="I1362" s="3" t="n">
        <v>0</v>
      </c>
      <c r="J1362" s="3" t="n">
        <v>0</v>
      </c>
    </row>
    <row r="1363">
      <c r="A1363" t="inlineStr">
        <is>
          <t>累計 Year 2031</t>
        </is>
      </c>
      <c r="B1363" t="inlineStr">
        <is>
          <t>C/91000_27</t>
        </is>
      </c>
      <c r="C1363" t="inlineStr">
        <is>
          <t>新取得BIM土木機電-26年</t>
        </is>
      </c>
      <c r="D1363" t="inlineStr">
        <is>
          <t>內部</t>
        </is>
      </c>
      <c r="E1363" t="inlineStr">
        <is>
          <t>內案</t>
        </is>
      </c>
      <c r="F1363" s="3" t="n">
        <v>0</v>
      </c>
      <c r="G1363" s="3" t="n">
        <v>0</v>
      </c>
      <c r="H1363" s="3" t="n">
        <v>0</v>
      </c>
      <c r="I1363" s="3" t="n">
        <v>0</v>
      </c>
      <c r="J1363" s="3" t="n">
        <v>0</v>
      </c>
    </row>
    <row r="1364">
      <c r="A1364" t="inlineStr">
        <is>
          <t>累計 Year 2031</t>
        </is>
      </c>
      <c r="B1364" t="inlineStr">
        <is>
          <t>C/91001_27</t>
        </is>
      </c>
      <c r="C1364" t="inlineStr">
        <is>
          <t>新取得BIM土木機電-27年</t>
        </is>
      </c>
      <c r="D1364" t="inlineStr">
        <is>
          <t>內部</t>
        </is>
      </c>
      <c r="E1364" t="inlineStr">
        <is>
          <t>內案</t>
        </is>
      </c>
      <c r="F1364" s="3" t="n">
        <v>31272156</v>
      </c>
      <c r="G1364" s="3" t="n">
        <v>15658283</v>
      </c>
      <c r="H1364" s="3" t="n">
        <v>46930439</v>
      </c>
      <c r="I1364" s="3" t="n">
        <v>0</v>
      </c>
      <c r="J1364" s="3" t="n">
        <v>38524000</v>
      </c>
    </row>
    <row r="1365">
      <c r="A1365" t="inlineStr">
        <is>
          <t>累計 Year 2031</t>
        </is>
      </c>
      <c r="B1365" t="inlineStr">
        <is>
          <t>C/91002_27</t>
        </is>
      </c>
      <c r="C1365" t="inlineStr">
        <is>
          <t>新取得BIM土木機電-28年</t>
        </is>
      </c>
      <c r="D1365" t="inlineStr">
        <is>
          <t>內部</t>
        </is>
      </c>
      <c r="E1365" t="inlineStr">
        <is>
          <t>內案</t>
        </is>
      </c>
      <c r="F1365" s="3" t="n">
        <v>15388180</v>
      </c>
      <c r="G1365" s="3" t="n">
        <v>7539867</v>
      </c>
      <c r="H1365" s="3" t="n">
        <v>22928047</v>
      </c>
      <c r="I1365" s="3" t="n">
        <v>0</v>
      </c>
      <c r="J1365" s="3" t="n">
        <v>18700000</v>
      </c>
    </row>
    <row r="1366">
      <c r="A1366" t="inlineStr">
        <is>
          <t>累計 Year 2031</t>
        </is>
      </c>
      <c r="B1366" t="inlineStr">
        <is>
          <t>C/91003_27</t>
        </is>
      </c>
      <c r="C1366" t="inlineStr">
        <is>
          <t>新取得BIM土木機電-29年</t>
        </is>
      </c>
      <c r="D1366" t="inlineStr">
        <is>
          <t>內部</t>
        </is>
      </c>
      <c r="E1366" t="inlineStr">
        <is>
          <t>內案</t>
        </is>
      </c>
      <c r="F1366" s="3" t="n">
        <v>11365340</v>
      </c>
      <c r="G1366" s="3" t="n">
        <v>5496541</v>
      </c>
      <c r="H1366" s="3" t="n">
        <v>16861881</v>
      </c>
      <c r="I1366" s="3" t="n">
        <v>0</v>
      </c>
      <c r="J1366" s="3" t="n">
        <v>19300000</v>
      </c>
    </row>
    <row r="1367">
      <c r="A1367" t="inlineStr">
        <is>
          <t>累計 Year 2031</t>
        </is>
      </c>
      <c r="B1367" t="inlineStr">
        <is>
          <t>C/91004_27</t>
        </is>
      </c>
      <c r="C1367" t="inlineStr">
        <is>
          <t>新取得BIM土木機電-30年</t>
        </is>
      </c>
      <c r="D1367" t="inlineStr">
        <is>
          <t>內部</t>
        </is>
      </c>
      <c r="E1367" t="inlineStr">
        <is>
          <t>內案</t>
        </is>
      </c>
      <c r="F1367" s="3" t="n">
        <v>8617680</v>
      </c>
      <c r="G1367" s="3" t="n">
        <v>4175422</v>
      </c>
      <c r="H1367" s="3" t="n">
        <v>12793102</v>
      </c>
      <c r="I1367" s="3" t="n">
        <v>0</v>
      </c>
      <c r="J1367" s="3" t="n">
        <v>16000000</v>
      </c>
    </row>
    <row r="1368">
      <c r="A1368" t="inlineStr">
        <is>
          <t>累計 Year 2031</t>
        </is>
      </c>
      <c r="B1368" t="inlineStr">
        <is>
          <t>C/91005_27</t>
        </is>
      </c>
      <c r="C1368" t="inlineStr">
        <is>
          <t>新取得BIM土木機電-31年</t>
        </is>
      </c>
      <c r="D1368" t="inlineStr">
        <is>
          <t>內部</t>
        </is>
      </c>
      <c r="E1368" t="inlineStr">
        <is>
          <t>內案</t>
        </is>
      </c>
      <c r="F1368" s="3" t="n">
        <v>3669250</v>
      </c>
      <c r="G1368" s="3" t="n">
        <v>1775971</v>
      </c>
      <c r="H1368" s="3" t="n">
        <v>5445221</v>
      </c>
      <c r="I1368" s="3" t="n">
        <v>0</v>
      </c>
      <c r="J1368" s="3" t="n">
        <v>8200000</v>
      </c>
    </row>
    <row r="1369">
      <c r="A1369" t="inlineStr">
        <is>
          <t>累計 Year 2031</t>
        </is>
      </c>
      <c r="B1369" t="inlineStr">
        <is>
          <t>C/9210F</t>
        </is>
      </c>
      <c r="C1369" t="inlineStr">
        <is>
          <t>南港機廠BIM建築</t>
        </is>
      </c>
      <c r="D1369" t="inlineStr">
        <is>
          <t>外部</t>
        </is>
      </c>
      <c r="E1369" t="inlineStr">
        <is>
          <t>外案</t>
        </is>
      </c>
      <c r="F1369" s="3" t="n">
        <v>7070420</v>
      </c>
      <c r="G1369" s="3" t="n">
        <v>4041580</v>
      </c>
      <c r="H1369" s="3" t="n">
        <v>11112000</v>
      </c>
      <c r="I1369" s="3" t="n">
        <v>0</v>
      </c>
      <c r="J1369" s="3" t="n">
        <v>11112000</v>
      </c>
    </row>
    <row r="1370">
      <c r="A1370" t="inlineStr">
        <is>
          <t>累計 Year 2031</t>
        </is>
      </c>
      <c r="B1370" t="inlineStr">
        <is>
          <t>C/9210G</t>
        </is>
      </c>
      <c r="C1370" t="inlineStr">
        <is>
          <t>富邦忠孝懷生BIM建築</t>
        </is>
      </c>
      <c r="D1370" t="inlineStr">
        <is>
          <t>內部</t>
        </is>
      </c>
      <c r="E1370" t="inlineStr">
        <is>
          <t>內案</t>
        </is>
      </c>
      <c r="F1370" s="3" t="n">
        <v>8421321</v>
      </c>
      <c r="G1370" s="3" t="n">
        <v>-795674</v>
      </c>
      <c r="H1370" s="3" t="n">
        <v>7625647</v>
      </c>
      <c r="I1370" s="3" t="n">
        <v>-20279</v>
      </c>
      <c r="J1370" s="3" t="n">
        <v>7820000</v>
      </c>
    </row>
    <row r="1371">
      <c r="A1371" t="inlineStr">
        <is>
          <t>累計 Year 2031</t>
        </is>
      </c>
      <c r="B1371" t="inlineStr">
        <is>
          <t>C/9220E</t>
        </is>
      </c>
      <c r="C1371" t="inlineStr">
        <is>
          <t>柏鴻北士科 C/9100A-22A</t>
        </is>
      </c>
      <c r="D1371" t="inlineStr">
        <is>
          <t>內部</t>
        </is>
      </c>
      <c r="E1371" t="inlineStr">
        <is>
          <t>內案</t>
        </is>
      </c>
      <c r="F1371" s="3" t="n">
        <v>2328910</v>
      </c>
      <c r="G1371" s="3" t="n">
        <v>1596878</v>
      </c>
      <c r="H1371" s="3" t="n">
        <v>3925788</v>
      </c>
      <c r="I1371" s="3" t="n">
        <v>0</v>
      </c>
      <c r="J1371" s="3" t="n">
        <v>4030000</v>
      </c>
    </row>
    <row r="1372">
      <c r="A1372" t="inlineStr">
        <is>
          <t>累計 Year 2031</t>
        </is>
      </c>
      <c r="B1372" t="inlineStr">
        <is>
          <t>C/9230A</t>
        </is>
      </c>
      <c r="C1372" t="inlineStr">
        <is>
          <t>信義兒福BIM建築</t>
        </is>
      </c>
      <c r="D1372" t="inlineStr">
        <is>
          <t>外部</t>
        </is>
      </c>
      <c r="E1372" t="inlineStr">
        <is>
          <t>外案</t>
        </is>
      </c>
      <c r="F1372" s="3" t="n">
        <v>3085739</v>
      </c>
      <c r="G1372" s="3" t="n">
        <v>1225317</v>
      </c>
      <c r="H1372" s="3" t="n">
        <v>4311056</v>
      </c>
      <c r="I1372" s="3" t="n">
        <v>0</v>
      </c>
      <c r="J1372" s="3" t="n">
        <v>5150000</v>
      </c>
    </row>
    <row r="1373">
      <c r="A1373" t="inlineStr">
        <is>
          <t>累計 Year 2031</t>
        </is>
      </c>
      <c r="B1373" t="inlineStr">
        <is>
          <t>C/9230B</t>
        </is>
      </c>
      <c r="C1373" t="inlineStr">
        <is>
          <t>北捷劍潭TOD</t>
        </is>
      </c>
      <c r="D1373" t="inlineStr">
        <is>
          <t>內部</t>
        </is>
      </c>
      <c r="E1373" t="inlineStr">
        <is>
          <t>內案</t>
        </is>
      </c>
      <c r="F1373" s="3" t="n">
        <v>12015135</v>
      </c>
      <c r="G1373" s="3" t="n">
        <v>6652560</v>
      </c>
      <c r="H1373" s="3" t="n">
        <v>18667695</v>
      </c>
      <c r="I1373" s="3" t="n">
        <v>0</v>
      </c>
      <c r="J1373" s="3" t="n">
        <v>19200000</v>
      </c>
    </row>
    <row r="1374">
      <c r="A1374" t="inlineStr">
        <is>
          <t>累計 Year 2031</t>
        </is>
      </c>
      <c r="B1374" t="inlineStr">
        <is>
          <t>C/9230C</t>
        </is>
      </c>
      <c r="C1374" t="inlineStr">
        <is>
          <t>慶城福華-23年</t>
        </is>
      </c>
      <c r="D1374" t="inlineStr">
        <is>
          <t>內部</t>
        </is>
      </c>
      <c r="E1374" t="inlineStr">
        <is>
          <t>內案</t>
        </is>
      </c>
      <c r="F1374" s="3" t="n">
        <v>2933733</v>
      </c>
      <c r="G1374" s="3" t="n">
        <v>1595217</v>
      </c>
      <c r="H1374" s="3" t="n">
        <v>4528950</v>
      </c>
      <c r="I1374" s="3" t="n">
        <v>0</v>
      </c>
      <c r="J1374" s="3" t="n">
        <v>4940000</v>
      </c>
    </row>
    <row r="1375">
      <c r="A1375" t="inlineStr">
        <is>
          <t>累計 Year 2031</t>
        </is>
      </c>
      <c r="B1375" t="inlineStr">
        <is>
          <t>C/9240A</t>
        </is>
      </c>
      <c r="C1375" t="inlineStr">
        <is>
          <t>南港國際一</t>
        </is>
      </c>
      <c r="D1375" t="inlineStr">
        <is>
          <t>內部</t>
        </is>
      </c>
      <c r="E1375" t="inlineStr">
        <is>
          <t>內案</t>
        </is>
      </c>
      <c r="F1375" s="3" t="n">
        <v>16341779</v>
      </c>
      <c r="G1375" s="3" t="n">
        <v>14399490</v>
      </c>
      <c r="H1375" s="3" t="n">
        <v>30741269</v>
      </c>
      <c r="I1375" s="3" t="n">
        <v>0</v>
      </c>
      <c r="J1375" s="3" t="n">
        <v>31186000</v>
      </c>
    </row>
    <row r="1376">
      <c r="A1376" t="inlineStr">
        <is>
          <t>累計 Year 2031</t>
        </is>
      </c>
      <c r="B1376" t="inlineStr">
        <is>
          <t>C/9240B</t>
        </is>
      </c>
      <c r="C1376" t="inlineStr">
        <is>
          <t xml:space="preserve">台中洲際BIM建築 </t>
        </is>
      </c>
      <c r="D1376" t="inlineStr">
        <is>
          <t>內部</t>
        </is>
      </c>
      <c r="E1376" t="inlineStr">
        <is>
          <t>內案</t>
        </is>
      </c>
      <c r="F1376" s="3" t="n">
        <v>1681852</v>
      </c>
      <c r="G1376" s="3" t="n">
        <v>518148</v>
      </c>
      <c r="H1376" s="3" t="n">
        <v>2200000</v>
      </c>
      <c r="I1376" s="3" t="n">
        <v>0</v>
      </c>
      <c r="J1376" s="3" t="n">
        <v>2200000</v>
      </c>
    </row>
    <row r="1377">
      <c r="A1377" t="inlineStr">
        <is>
          <t>累計 Year 2031</t>
        </is>
      </c>
      <c r="B1377" t="inlineStr">
        <is>
          <t>C/9240C</t>
        </is>
      </c>
      <c r="C1377" t="inlineStr">
        <is>
          <t xml:space="preserve">大直金泰BIM建築 </t>
        </is>
      </c>
      <c r="D1377" t="inlineStr">
        <is>
          <t>內部</t>
        </is>
      </c>
      <c r="E1377" t="inlineStr">
        <is>
          <t>內案</t>
        </is>
      </c>
      <c r="F1377" s="3" t="n">
        <v>2266711</v>
      </c>
      <c r="G1377" s="3" t="n">
        <v>510071</v>
      </c>
      <c r="H1377" s="3" t="n">
        <v>2776782</v>
      </c>
      <c r="I1377" s="3" t="n">
        <v>0</v>
      </c>
      <c r="J1377" s="3" t="n">
        <v>3125000</v>
      </c>
    </row>
    <row r="1378">
      <c r="A1378" t="inlineStr">
        <is>
          <t>累計 Year 2031</t>
        </is>
      </c>
      <c r="B1378" t="inlineStr">
        <is>
          <t>C/9240D</t>
        </is>
      </c>
      <c r="C1378" t="inlineStr">
        <is>
          <t xml:space="preserve">板橋新雅BIM建築 </t>
        </is>
      </c>
      <c r="D1378" t="inlineStr">
        <is>
          <t>內部</t>
        </is>
      </c>
      <c r="E1378" t="inlineStr">
        <is>
          <t>內案</t>
        </is>
      </c>
      <c r="F1378" s="3" t="n">
        <v>899848</v>
      </c>
      <c r="G1378" s="3" t="n">
        <v>788507</v>
      </c>
      <c r="H1378" s="3" t="n">
        <v>1688355</v>
      </c>
      <c r="I1378" s="3" t="n">
        <v>0</v>
      </c>
      <c r="J1378" s="3" t="n">
        <v>2042000</v>
      </c>
    </row>
    <row r="1379">
      <c r="A1379" t="inlineStr">
        <is>
          <t>累計 Year 2031</t>
        </is>
      </c>
      <c r="B1379" t="inlineStr">
        <is>
          <t>C/9240E</t>
        </is>
      </c>
      <c r="C1379" t="inlineStr">
        <is>
          <t xml:space="preserve">板橋四維BIM建築 </t>
        </is>
      </c>
      <c r="D1379" t="inlineStr">
        <is>
          <t>內部</t>
        </is>
      </c>
      <c r="E1379" t="inlineStr">
        <is>
          <t>內案</t>
        </is>
      </c>
      <c r="F1379" s="3" t="n">
        <v>1089400</v>
      </c>
      <c r="G1379" s="3" t="n">
        <v>1112600</v>
      </c>
      <c r="H1379" s="3" t="n">
        <v>2202000</v>
      </c>
      <c r="I1379" s="3" t="n">
        <v>0</v>
      </c>
      <c r="J1379" s="3" t="n">
        <v>2202000</v>
      </c>
    </row>
    <row r="1380">
      <c r="A1380" t="inlineStr">
        <is>
          <t>累計 Year 2031</t>
        </is>
      </c>
      <c r="B1380" t="inlineStr">
        <is>
          <t>C/9240F</t>
        </is>
      </c>
      <c r="C1380" t="inlineStr">
        <is>
          <t>台中新美齊</t>
        </is>
      </c>
      <c r="D1380" t="inlineStr">
        <is>
          <t>內部</t>
        </is>
      </c>
      <c r="E1380" t="inlineStr">
        <is>
          <t>內案</t>
        </is>
      </c>
      <c r="F1380" s="3" t="n">
        <v>1753277</v>
      </c>
      <c r="G1380" s="3" t="n">
        <v>1537426</v>
      </c>
      <c r="H1380" s="3" t="n">
        <v>3290703</v>
      </c>
      <c r="I1380" s="3" t="n">
        <v>0</v>
      </c>
      <c r="J1380" s="3" t="n">
        <v>3365000</v>
      </c>
    </row>
    <row r="1381">
      <c r="A1381" t="inlineStr">
        <is>
          <t>累計 Year 2031</t>
        </is>
      </c>
      <c r="B1381" t="inlineStr">
        <is>
          <t>C/9240G</t>
        </is>
      </c>
      <c r="C1381" t="inlineStr">
        <is>
          <t>晨禎片片山閑</t>
        </is>
      </c>
      <c r="D1381" t="inlineStr">
        <is>
          <t>外部</t>
        </is>
      </c>
      <c r="E1381" t="inlineStr">
        <is>
          <t>外案</t>
        </is>
      </c>
      <c r="F1381" s="3" t="n">
        <v>1250140</v>
      </c>
      <c r="G1381" s="3" t="n">
        <v>1797480</v>
      </c>
      <c r="H1381" s="3" t="n">
        <v>3047620</v>
      </c>
      <c r="I1381" s="3" t="n">
        <v>0</v>
      </c>
      <c r="J1381" s="3" t="n">
        <v>3047620</v>
      </c>
    </row>
    <row r="1382">
      <c r="A1382" t="inlineStr">
        <is>
          <t>累計 Year 2031</t>
        </is>
      </c>
      <c r="B1382" t="inlineStr">
        <is>
          <t>C/9250A</t>
        </is>
      </c>
      <c r="C1382" t="inlineStr">
        <is>
          <t>南機二區BIM服務</t>
        </is>
      </c>
      <c r="D1382" t="inlineStr">
        <is>
          <t>內部</t>
        </is>
      </c>
      <c r="E1382" t="inlineStr">
        <is>
          <t>內案</t>
        </is>
      </c>
      <c r="F1382" s="3" t="n">
        <v>28807663</v>
      </c>
      <c r="G1382" s="3" t="n">
        <v>7154370</v>
      </c>
      <c r="H1382" s="3" t="n">
        <v>35962033</v>
      </c>
      <c r="I1382" s="3" t="n">
        <v>0</v>
      </c>
      <c r="J1382" s="3" t="n">
        <v>36177000</v>
      </c>
    </row>
    <row r="1383">
      <c r="A1383" t="inlineStr">
        <is>
          <t>累計 Year 2031</t>
        </is>
      </c>
      <c r="B1383" t="inlineStr">
        <is>
          <t>C/9250B</t>
        </is>
      </c>
      <c r="C1383" t="inlineStr">
        <is>
          <t>璞真南港總部</t>
        </is>
      </c>
      <c r="D1383" t="inlineStr">
        <is>
          <t>內部</t>
        </is>
      </c>
      <c r="E1383" t="inlineStr">
        <is>
          <t>內案</t>
        </is>
      </c>
      <c r="F1383" s="3" t="n">
        <v>1165035</v>
      </c>
      <c r="G1383" s="3" t="n">
        <v>580792</v>
      </c>
      <c r="H1383" s="3" t="n">
        <v>1745827</v>
      </c>
      <c r="I1383" s="3" t="n">
        <v>0</v>
      </c>
      <c r="J1383" s="3" t="n">
        <v>1910000</v>
      </c>
    </row>
    <row r="1384">
      <c r="A1384" t="inlineStr">
        <is>
          <t>累計 Year 2031</t>
        </is>
      </c>
      <c r="B1384" t="inlineStr">
        <is>
          <t>C/9250C</t>
        </is>
      </c>
      <c r="C1384" t="inlineStr">
        <is>
          <t>築源南港</t>
        </is>
      </c>
      <c r="D1384" t="inlineStr">
        <is>
          <t>內部</t>
        </is>
      </c>
      <c r="E1384" t="inlineStr">
        <is>
          <t>內案</t>
        </is>
      </c>
      <c r="F1384" s="3" t="n">
        <v>2645757</v>
      </c>
      <c r="G1384" s="3" t="n">
        <v>1236743</v>
      </c>
      <c r="H1384" s="3" t="n">
        <v>3882500</v>
      </c>
      <c r="I1384" s="3" t="n">
        <v>0</v>
      </c>
      <c r="J1384" s="3" t="n">
        <v>3969500</v>
      </c>
    </row>
    <row r="1385">
      <c r="A1385" t="inlineStr">
        <is>
          <t>累計 Year 2031</t>
        </is>
      </c>
      <c r="B1385" t="inlineStr">
        <is>
          <t>C/9250D</t>
        </is>
      </c>
      <c r="C1385" t="inlineStr">
        <is>
          <t>南港三重</t>
        </is>
      </c>
      <c r="D1385" t="inlineStr">
        <is>
          <t>內部</t>
        </is>
      </c>
      <c r="E1385" t="inlineStr">
        <is>
          <t>內案</t>
        </is>
      </c>
      <c r="F1385" s="3" t="n">
        <v>1809660</v>
      </c>
      <c r="G1385" s="3" t="n">
        <v>824824</v>
      </c>
      <c r="H1385" s="3" t="n">
        <v>2634484</v>
      </c>
      <c r="I1385" s="3" t="n">
        <v>0</v>
      </c>
      <c r="J1385" s="3" t="n">
        <v>2655000</v>
      </c>
    </row>
    <row r="1386">
      <c r="A1386" t="inlineStr">
        <is>
          <t>累計 Year 2031</t>
        </is>
      </c>
      <c r="B1386" t="inlineStr">
        <is>
          <t>C/9260A</t>
        </is>
      </c>
      <c r="C1386" t="inlineStr">
        <is>
          <t>台中楓溪</t>
        </is>
      </c>
      <c r="D1386" t="inlineStr">
        <is>
          <t>內部</t>
        </is>
      </c>
      <c r="E1386" t="inlineStr">
        <is>
          <t>內案</t>
        </is>
      </c>
      <c r="F1386" s="3" t="n">
        <v>1295167</v>
      </c>
      <c r="G1386" s="3" t="n">
        <v>590037</v>
      </c>
      <c r="H1386" s="3" t="n">
        <v>1885204</v>
      </c>
      <c r="I1386" s="3" t="n">
        <v>0</v>
      </c>
      <c r="J1386" s="3" t="n">
        <v>2588000</v>
      </c>
    </row>
    <row r="1387">
      <c r="A1387" t="inlineStr">
        <is>
          <t>累計 Year 2031</t>
        </is>
      </c>
      <c r="B1387" t="inlineStr">
        <is>
          <t>C/9260B</t>
        </is>
      </c>
      <c r="C1387" t="inlineStr">
        <is>
          <t>樺輝永鑄</t>
        </is>
      </c>
      <c r="D1387" t="inlineStr">
        <is>
          <t>內部</t>
        </is>
      </c>
      <c r="E1387" t="inlineStr">
        <is>
          <t>內案</t>
        </is>
      </c>
      <c r="F1387" s="3" t="n">
        <v>2567070</v>
      </c>
      <c r="G1387" s="3" t="n">
        <v>500481</v>
      </c>
      <c r="H1387" s="3" t="n">
        <v>3067551</v>
      </c>
      <c r="I1387" s="3" t="n">
        <v>0</v>
      </c>
      <c r="J1387" s="3" t="n">
        <v>4070040</v>
      </c>
    </row>
    <row r="1388">
      <c r="A1388" t="inlineStr">
        <is>
          <t>累計 Year 2031</t>
        </is>
      </c>
      <c r="B1388" t="inlineStr">
        <is>
          <t>C/9260C</t>
        </is>
      </c>
      <c r="C1388" t="inlineStr">
        <is>
          <t>中華郵政信維</t>
        </is>
      </c>
      <c r="D1388" t="inlineStr">
        <is>
          <t>內部</t>
        </is>
      </c>
      <c r="E1388" t="inlineStr">
        <is>
          <t>內案</t>
        </is>
      </c>
      <c r="F1388" s="3" t="n">
        <v>5460178</v>
      </c>
      <c r="G1388" s="3" t="n">
        <v>2358714</v>
      </c>
      <c r="H1388" s="3" t="n">
        <v>7818892</v>
      </c>
      <c r="I1388" s="3" t="n">
        <v>0</v>
      </c>
      <c r="J1388" s="3" t="n">
        <v>11482667</v>
      </c>
    </row>
    <row r="1389">
      <c r="A1389" t="inlineStr">
        <is>
          <t>累計 Year 2031</t>
        </is>
      </c>
      <c r="B1389" t="inlineStr">
        <is>
          <t>C/9260D</t>
        </is>
      </c>
      <c r="C1389" t="inlineStr">
        <is>
          <t>大安復興</t>
        </is>
      </c>
      <c r="D1389" t="inlineStr">
        <is>
          <t>內部</t>
        </is>
      </c>
      <c r="E1389" t="inlineStr">
        <is>
          <t>內案</t>
        </is>
      </c>
      <c r="F1389" s="3" t="n">
        <v>788888</v>
      </c>
      <c r="G1389" s="3" t="n">
        <v>313429</v>
      </c>
      <c r="H1389" s="3" t="n">
        <v>1102317</v>
      </c>
      <c r="I1389" s="3" t="n">
        <v>0</v>
      </c>
      <c r="J1389" s="3" t="n">
        <v>1960000</v>
      </c>
    </row>
    <row r="1390">
      <c r="A1390" t="inlineStr">
        <is>
          <t>累計 Year 2031</t>
        </is>
      </c>
      <c r="B1390" t="inlineStr">
        <is>
          <t>C/9100B_26</t>
        </is>
      </c>
      <c r="C1390" t="inlineStr">
        <is>
          <t>新取得BIM建築-26年</t>
        </is>
      </c>
      <c r="D1390" t="inlineStr">
        <is>
          <t>內部</t>
        </is>
      </c>
      <c r="E1390" t="inlineStr">
        <is>
          <t>內案</t>
        </is>
      </c>
      <c r="F1390" s="3" t="n">
        <v>0</v>
      </c>
      <c r="G1390" s="3" t="n">
        <v>0</v>
      </c>
      <c r="H1390" s="3" t="n">
        <v>0</v>
      </c>
      <c r="I1390" s="3" t="n">
        <v>0</v>
      </c>
      <c r="J1390" s="3" t="n">
        <v>0</v>
      </c>
    </row>
    <row r="1391">
      <c r="A1391" t="inlineStr">
        <is>
          <t>累計 Year 2031</t>
        </is>
      </c>
      <c r="B1391" t="inlineStr">
        <is>
          <t>C/9100A_27</t>
        </is>
      </c>
      <c r="C1391" t="inlineStr">
        <is>
          <t>新取得BIM建築-26年</t>
        </is>
      </c>
      <c r="D1391" t="inlineStr">
        <is>
          <t>內部</t>
        </is>
      </c>
      <c r="E1391" t="inlineStr">
        <is>
          <t>內案</t>
        </is>
      </c>
      <c r="F1391" s="3" t="n">
        <v>0</v>
      </c>
      <c r="G1391" s="3" t="n">
        <v>0</v>
      </c>
      <c r="H1391" s="3" t="n">
        <v>0</v>
      </c>
      <c r="I1391" s="3" t="n">
        <v>0</v>
      </c>
      <c r="J1391" s="3" t="n">
        <v>0</v>
      </c>
    </row>
    <row r="1392">
      <c r="A1392" t="inlineStr">
        <is>
          <t>累計 Year 2031</t>
        </is>
      </c>
      <c r="B1392" t="inlineStr">
        <is>
          <t>C/9100B_27</t>
        </is>
      </c>
      <c r="C1392" t="inlineStr">
        <is>
          <t>新取得BIM建築-27年</t>
        </is>
      </c>
      <c r="D1392" t="inlineStr">
        <is>
          <t>內部</t>
        </is>
      </c>
      <c r="E1392" t="inlineStr">
        <is>
          <t>內案</t>
        </is>
      </c>
      <c r="F1392" s="3" t="n">
        <v>33162551</v>
      </c>
      <c r="G1392" s="3" t="n">
        <v>12552449</v>
      </c>
      <c r="H1392" s="3" t="n">
        <v>45715000</v>
      </c>
      <c r="I1392" s="3" t="n">
        <v>0</v>
      </c>
      <c r="J1392" s="3" t="n">
        <v>45715000</v>
      </c>
    </row>
    <row r="1393">
      <c r="A1393" t="inlineStr">
        <is>
          <t>累計 Year 2031</t>
        </is>
      </c>
      <c r="B1393" t="inlineStr">
        <is>
          <t>C/9100C_27</t>
        </is>
      </c>
      <c r="C1393" t="inlineStr">
        <is>
          <t>新取得BIM建築-28年</t>
        </is>
      </c>
      <c r="D1393" t="inlineStr">
        <is>
          <t>內部</t>
        </is>
      </c>
      <c r="E1393" t="inlineStr">
        <is>
          <t>內案</t>
        </is>
      </c>
      <c r="F1393" s="3" t="n">
        <v>26892211</v>
      </c>
      <c r="G1393" s="3" t="n">
        <v>10140394</v>
      </c>
      <c r="H1393" s="3" t="n">
        <v>37032605</v>
      </c>
      <c r="I1393" s="3" t="n">
        <v>0</v>
      </c>
      <c r="J1393" s="3" t="n">
        <v>37029000</v>
      </c>
    </row>
    <row r="1394">
      <c r="A1394" t="inlineStr">
        <is>
          <t>累計 Year 2031</t>
        </is>
      </c>
      <c r="B1394" t="inlineStr">
        <is>
          <t>C/9100D_27</t>
        </is>
      </c>
      <c r="C1394" t="inlineStr">
        <is>
          <t>新取得BIM建築-29年</t>
        </is>
      </c>
      <c r="D1394" t="inlineStr">
        <is>
          <t>內部</t>
        </is>
      </c>
      <c r="E1394" t="inlineStr">
        <is>
          <t>內案</t>
        </is>
      </c>
      <c r="F1394" s="3" t="n">
        <v>20107948</v>
      </c>
      <c r="G1394" s="3" t="n">
        <v>7642433</v>
      </c>
      <c r="H1394" s="3" t="n">
        <v>27750381</v>
      </c>
      <c r="I1394" s="3" t="n">
        <v>0</v>
      </c>
      <c r="J1394" s="3" t="n">
        <v>27322000</v>
      </c>
    </row>
    <row r="1395">
      <c r="A1395" t="inlineStr">
        <is>
          <t>累計 Year 2031</t>
        </is>
      </c>
      <c r="B1395" t="inlineStr">
        <is>
          <t>C/9100E_27</t>
        </is>
      </c>
      <c r="C1395" t="inlineStr">
        <is>
          <t>新取得BIM建築-30年</t>
        </is>
      </c>
      <c r="D1395" t="inlineStr">
        <is>
          <t>內部</t>
        </is>
      </c>
      <c r="E1395" t="inlineStr">
        <is>
          <t>內案</t>
        </is>
      </c>
      <c r="F1395" s="3" t="n">
        <v>16107048</v>
      </c>
      <c r="G1395" s="3" t="n">
        <v>5844689</v>
      </c>
      <c r="H1395" s="3" t="n">
        <v>21951737</v>
      </c>
      <c r="I1395" s="3" t="n">
        <v>0</v>
      </c>
      <c r="J1395" s="3" t="n">
        <v>21903000</v>
      </c>
    </row>
    <row r="1396">
      <c r="A1396" t="inlineStr">
        <is>
          <t>累計 Year 2031</t>
        </is>
      </c>
      <c r="B1396" t="inlineStr">
        <is>
          <t>C/9100F_27</t>
        </is>
      </c>
      <c r="C1396" t="inlineStr">
        <is>
          <t>新取得BIM建築-31年</t>
        </is>
      </c>
      <c r="D1396" t="inlineStr">
        <is>
          <t>內部</t>
        </is>
      </c>
      <c r="E1396" t="inlineStr">
        <is>
          <t>內案</t>
        </is>
      </c>
      <c r="F1396" s="3" t="n">
        <v>6065348</v>
      </c>
      <c r="G1396" s="3" t="n">
        <v>2307704</v>
      </c>
      <c r="H1396" s="3" t="n">
        <v>8373052</v>
      </c>
      <c r="I1396" s="3" t="n">
        <v>0</v>
      </c>
      <c r="J1396" s="3" t="n">
        <v>8160000</v>
      </c>
    </row>
    <row r="1397">
      <c r="A1397" t="inlineStr">
        <is>
          <t>累計 Year 2031</t>
        </is>
      </c>
      <c r="B1397" t="inlineStr">
        <is>
          <t>C/99992</t>
        </is>
      </c>
      <c r="C1397" t="inlineStr">
        <is>
          <t>雜項BIM土木機電</t>
        </is>
      </c>
      <c r="D1397" t="inlineStr">
        <is>
          <t>內/無</t>
        </is>
      </c>
      <c r="E1397" t="inlineStr">
        <is>
          <t>雜項</t>
        </is>
      </c>
      <c r="F1397" s="3" t="n">
        <v>3166770</v>
      </c>
      <c r="G1397" s="3" t="n">
        <v>1732230</v>
      </c>
      <c r="H1397" s="3" t="n">
        <v>4899000</v>
      </c>
      <c r="I1397" s="3" t="n">
        <v>0</v>
      </c>
      <c r="J1397" s="3" t="n">
        <v>5915700</v>
      </c>
    </row>
    <row r="1398">
      <c r="A1398" t="inlineStr">
        <is>
          <t>累計 Year 2031</t>
        </is>
      </c>
      <c r="B1398" t="inlineStr">
        <is>
          <t>C/99992-1</t>
        </is>
      </c>
      <c r="C1398" t="inlineStr">
        <is>
          <t>雜項BIM土木機電(外案收入)</t>
        </is>
      </c>
      <c r="D1398" t="inlineStr">
        <is>
          <t>外部</t>
        </is>
      </c>
      <c r="E1398" t="inlineStr">
        <is>
          <t>外案</t>
        </is>
      </c>
      <c r="F1398" s="3" t="n">
        <v>39200</v>
      </c>
      <c r="G1398" s="3" t="n">
        <v>13300</v>
      </c>
      <c r="H1398" s="3" t="n">
        <v>52500</v>
      </c>
      <c r="I1398" s="3" t="n">
        <v>0</v>
      </c>
      <c r="J1398" s="3" t="n">
        <v>267500</v>
      </c>
    </row>
    <row r="1399">
      <c r="A1399" t="inlineStr">
        <is>
          <t>累計 Year 2031</t>
        </is>
      </c>
      <c r="B1399" t="inlineStr">
        <is>
          <t>C/99993</t>
        </is>
      </c>
      <c r="C1399" t="inlineStr">
        <is>
          <t>備標BIM土木機電</t>
        </is>
      </c>
      <c r="D1399" t="inlineStr">
        <is>
          <t>備標</t>
        </is>
      </c>
      <c r="E1399" t="inlineStr">
        <is>
          <t>備標</t>
        </is>
      </c>
      <c r="F1399" s="3" t="n">
        <v>1734741</v>
      </c>
      <c r="G1399" s="3" t="n">
        <v>1906759</v>
      </c>
      <c r="H1399" s="3" t="n">
        <v>3641500</v>
      </c>
      <c r="I1399" s="3" t="n">
        <v>0</v>
      </c>
      <c r="J1399" s="3" t="n">
        <v>7631600</v>
      </c>
    </row>
    <row r="1400">
      <c r="A1400" t="inlineStr">
        <is>
          <t>累計 Year 2031</t>
        </is>
      </c>
      <c r="B1400" t="inlineStr">
        <is>
          <t>C/9999B</t>
        </is>
      </c>
      <c r="C1400" t="inlineStr">
        <is>
          <t>雜項BIM建築</t>
        </is>
      </c>
      <c r="D1400" t="inlineStr">
        <is>
          <t>內/無</t>
        </is>
      </c>
      <c r="E1400" t="inlineStr">
        <is>
          <t>雜項</t>
        </is>
      </c>
      <c r="F1400" s="3" t="n">
        <v>1359204</v>
      </c>
      <c r="G1400" s="3" t="n">
        <v>385796</v>
      </c>
      <c r="H1400" s="3" t="n">
        <v>1745000</v>
      </c>
      <c r="I1400" s="3" t="n">
        <v>0</v>
      </c>
      <c r="J1400" s="3" t="n">
        <v>3375000</v>
      </c>
    </row>
    <row r="1401">
      <c r="A1401" t="inlineStr">
        <is>
          <t>累計 Year 2031</t>
        </is>
      </c>
      <c r="B1401" t="inlineStr">
        <is>
          <t>C/9999D</t>
        </is>
      </c>
      <c r="C1401" t="inlineStr">
        <is>
          <t>備標BIM建築</t>
        </is>
      </c>
      <c r="D1401" t="inlineStr">
        <is>
          <t>備標</t>
        </is>
      </c>
      <c r="E1401" t="inlineStr">
        <is>
          <t>備標</t>
        </is>
      </c>
      <c r="F1401" s="3" t="n">
        <v>1684733</v>
      </c>
      <c r="G1401" s="3" t="n">
        <v>-389733</v>
      </c>
      <c r="H1401" s="3" t="n">
        <v>1295000</v>
      </c>
      <c r="I1401" s="3" t="n">
        <v>0</v>
      </c>
      <c r="J1401" s="3" t="n">
        <v>2015000</v>
      </c>
    </row>
  </sheetData>
  <autoFilter ref="A1:J1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2026-10-03T08:01:56Z</dcterms:created>
  <dcterms:modified xsi:type="dcterms:W3CDTF">2026-10-03T08:02:34Z</dcterms:modified>
</cp:coreProperties>
</file>