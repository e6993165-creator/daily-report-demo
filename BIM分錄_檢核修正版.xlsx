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410" windowWidth="29040" windowHeight="15720" tabRatio="600" firstSheet="0" activeTab="0" autoFilterDateGrouping="1"/>
  </bookViews>
  <sheets>
    <sheet name="工作表1" sheetId="1" state="visible" r:id="rId1"/>
    <sheet name="檢核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0.000000"/>
    <numFmt numFmtId="166" formatCode="#,##0.00;[Red]-#,##0.00"/>
  </numFmts>
  <fonts count="20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b val="1"/>
      <color rgb="FF000000"/>
      <sz val="12"/>
      <u val="singleAccounting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sz val="12"/>
    </font>
    <font>
      <name val="標楷體"/>
      <charset val="136"/>
      <family val="2"/>
      <sz val="9"/>
    </font>
    <font>
      <name val="微軟正黑體"/>
      <charset val="136"/>
      <family val="2"/>
      <color theme="1"/>
      <sz val="12"/>
    </font>
    <font>
      <name val="微軟正黑體"/>
      <charset val="136"/>
      <family val="2"/>
      <i val="1"/>
      <color rgb="FF000000"/>
      <sz val="12"/>
    </font>
    <font>
      <name val="微軟正黑體"/>
      <charset val="136"/>
      <family val="2"/>
      <i val="1"/>
      <color rgb="FF0F9ED5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rgb="FF00B050"/>
      <sz val="12"/>
    </font>
    <font>
      <name val="微軟正黑體"/>
      <charset val="136"/>
      <family val="2"/>
      <color rgb="FF7030A0"/>
      <sz val="12"/>
    </font>
    <font>
      <name val="微軟正黑體"/>
      <charset val="136"/>
      <family val="2"/>
      <b val="1"/>
      <color theme="1"/>
      <sz val="18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i val="1"/>
      <color theme="7"/>
      <sz val="12"/>
    </font>
    <font>
      <b val="1"/>
    </font>
    <font>
      <b val="1"/>
      <color rgb="FFC00000"/>
    </font>
  </fonts>
  <fills count="25">
    <fill>
      <patternFill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21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6" borderId="9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38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6" borderId="10" applyAlignment="1" pivotButton="0" quotePrefix="0" xfId="0">
      <alignment vertical="center"/>
    </xf>
    <xf numFmtId="0" fontId="3" fillId="6" borderId="11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4" applyAlignment="1" pivotButton="0" quotePrefix="0" xfId="0">
      <alignment vertical="center"/>
    </xf>
    <xf numFmtId="0" fontId="3" fillId="6" borderId="12" applyAlignment="1" pivotButton="0" quotePrefix="0" xfId="0">
      <alignment vertical="center"/>
    </xf>
    <xf numFmtId="3" fontId="3" fillId="7" borderId="13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/>
    </xf>
    <xf numFmtId="0" fontId="3" fillId="4" borderId="6" applyAlignment="1" pivotButton="0" quotePrefix="0" xfId="0">
      <alignment vertical="center"/>
    </xf>
    <xf numFmtId="0" fontId="3" fillId="7" borderId="13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6" borderId="13" applyAlignment="1" pivotButton="0" quotePrefix="0" xfId="0">
      <alignment horizontal="center" vertical="center"/>
    </xf>
    <xf numFmtId="9" fontId="3" fillId="6" borderId="1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3" fillId="4" borderId="4" applyAlignment="1" pivotButton="0" quotePrefix="0" xfId="0">
      <alignment vertical="center"/>
    </xf>
    <xf numFmtId="0" fontId="3" fillId="8" borderId="13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3" fillId="6" borderId="1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7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/>
    </xf>
    <xf numFmtId="0" fontId="8" fillId="0" borderId="17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10" borderId="18" applyAlignment="1" pivotButton="0" quotePrefix="0" xfId="0">
      <alignment horizontal="center" vertical="center"/>
    </xf>
    <xf numFmtId="0" fontId="8" fillId="10" borderId="19" applyAlignment="1" pivotButton="0" quotePrefix="0" xfId="0">
      <alignment horizontal="center" vertical="center"/>
    </xf>
    <xf numFmtId="0" fontId="8" fillId="1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1" fillId="0" borderId="2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0" fontId="8" fillId="13" borderId="19" applyAlignment="1" pivotButton="0" quotePrefix="0" xfId="0">
      <alignment horizontal="center" vertical="center"/>
    </xf>
    <xf numFmtId="0" fontId="8" fillId="13" borderId="20" applyAlignment="1" pivotButton="0" quotePrefix="0" xfId="0">
      <alignment horizontal="center" vertical="center"/>
    </xf>
    <xf numFmtId="0" fontId="3" fillId="12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6" fillId="16" borderId="18" applyAlignment="1" pivotButton="0" quotePrefix="0" xfId="0">
      <alignment horizontal="center" vertical="center"/>
    </xf>
    <xf numFmtId="0" fontId="6" fillId="16" borderId="19" applyAlignment="1" pivotButton="0" quotePrefix="0" xfId="0">
      <alignment horizontal="center" vertical="center"/>
    </xf>
    <xf numFmtId="0" fontId="6" fillId="16" borderId="20" applyAlignment="1" pivotButton="0" quotePrefix="0" xfId="0">
      <alignment horizontal="center" vertical="center"/>
    </xf>
    <xf numFmtId="0" fontId="8" fillId="0" borderId="21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6" fillId="15" borderId="18" applyAlignment="1" pivotButton="0" quotePrefix="0" xfId="0">
      <alignment horizontal="center" vertical="center"/>
    </xf>
    <xf numFmtId="0" fontId="6" fillId="15" borderId="19" applyAlignment="1" pivotButton="0" quotePrefix="0" xfId="0">
      <alignment horizontal="center" vertical="center"/>
    </xf>
    <xf numFmtId="0" fontId="6" fillId="15" borderId="2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0" borderId="21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3" fillId="0" borderId="21" applyAlignment="1" pivotButton="0" quotePrefix="0" xfId="0">
      <alignment horizontal="center" vertical="center"/>
    </xf>
    <xf numFmtId="38" fontId="6" fillId="0" borderId="0" applyAlignment="1" pivotButton="0" quotePrefix="1" xfId="0">
      <alignment vertical="center"/>
    </xf>
    <xf numFmtId="38" fontId="6" fillId="0" borderId="0" applyAlignment="1" pivotButton="0" quotePrefix="0" xfId="0">
      <alignment vertical="center"/>
    </xf>
    <xf numFmtId="38" fontId="6" fillId="0" borderId="22" applyAlignment="1" pivotButton="0" quotePrefix="0" xfId="0">
      <alignment vertical="center"/>
    </xf>
    <xf numFmtId="38" fontId="13" fillId="0" borderId="22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14" fillId="0" borderId="28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164" fontId="17" fillId="0" borderId="0" applyAlignment="1" pivotButton="0" quotePrefix="0" xfId="1">
      <alignment vertical="center"/>
    </xf>
    <xf numFmtId="164" fontId="17" fillId="0" borderId="0" applyAlignment="1" pivotButton="0" quotePrefix="0" xfId="1">
      <alignment vertical="center"/>
    </xf>
    <xf numFmtId="0" fontId="4" fillId="0" borderId="32" applyAlignment="1" pivotButton="0" quotePrefix="0" xfId="0">
      <alignment horizontal="center" vertical="center"/>
    </xf>
    <xf numFmtId="0" fontId="3" fillId="3" borderId="33" applyAlignment="1" pivotButton="0" quotePrefix="0" xfId="0">
      <alignment horizontal="left" vertical="center"/>
    </xf>
    <xf numFmtId="0" fontId="3" fillId="3" borderId="19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38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4" borderId="36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39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vertical="center"/>
    </xf>
    <xf numFmtId="0" fontId="4" fillId="5" borderId="38" applyAlignment="1" pivotButton="0" quotePrefix="0" xfId="0">
      <alignment horizontal="center" vertical="center"/>
    </xf>
    <xf numFmtId="0" fontId="4" fillId="5" borderId="36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3" fillId="5" borderId="17" applyAlignment="1" pivotButton="0" quotePrefix="0" xfId="0">
      <alignment horizontal="left" vertical="center"/>
    </xf>
    <xf numFmtId="0" fontId="3" fillId="5" borderId="17" applyAlignment="1" pivotButton="0" quotePrefix="0" xfId="0">
      <alignment vertical="center"/>
    </xf>
    <xf numFmtId="0" fontId="4" fillId="5" borderId="42" applyAlignment="1" pivotButton="0" quotePrefix="0" xfId="0">
      <alignment horizontal="center" vertical="center"/>
    </xf>
    <xf numFmtId="38" fontId="16" fillId="17" borderId="32" applyAlignment="1" pivotButton="0" quotePrefix="0" xfId="0">
      <alignment vertical="center"/>
    </xf>
    <xf numFmtId="38" fontId="16" fillId="17" borderId="1" applyAlignment="1" pivotButton="0" quotePrefix="0" xfId="0">
      <alignment vertical="center"/>
    </xf>
    <xf numFmtId="38" fontId="16" fillId="17" borderId="43" applyAlignment="1" pivotButton="0" quotePrefix="0" xfId="0">
      <alignment horizontal="center" vertical="center"/>
    </xf>
    <xf numFmtId="38" fontId="16" fillId="17" borderId="26" applyAlignment="1" pivotButton="0" quotePrefix="0" xfId="0">
      <alignment horizontal="center" vertical="center"/>
    </xf>
    <xf numFmtId="38" fontId="16" fillId="17" borderId="27" applyAlignment="1" pivotButton="0" quotePrefix="0" xfId="0">
      <alignment horizontal="center" vertical="center"/>
    </xf>
    <xf numFmtId="38" fontId="16" fillId="18" borderId="25" applyAlignment="1" pivotButton="0" quotePrefix="0" xfId="0">
      <alignment horizontal="center" vertical="center"/>
    </xf>
    <xf numFmtId="38" fontId="16" fillId="18" borderId="26" applyAlignment="1" pivotButton="0" quotePrefix="0" xfId="0">
      <alignment horizontal="center" vertical="center"/>
    </xf>
    <xf numFmtId="38" fontId="16" fillId="18" borderId="27" applyAlignment="1" pivotButton="0" quotePrefix="0" xfId="0">
      <alignment horizontal="center" vertical="center"/>
    </xf>
    <xf numFmtId="38" fontId="16" fillId="19" borderId="26" applyAlignment="1" pivotButton="0" quotePrefix="0" xfId="0">
      <alignment horizontal="center" vertical="center"/>
    </xf>
    <xf numFmtId="0" fontId="16" fillId="19" borderId="26" applyAlignment="1" pivotButton="0" quotePrefix="0" xfId="0">
      <alignment horizontal="center" vertical="center"/>
    </xf>
    <xf numFmtId="0" fontId="16" fillId="19" borderId="44" applyAlignment="1" pivotButton="0" quotePrefix="0" xfId="0">
      <alignment horizontal="center" vertical="center"/>
    </xf>
    <xf numFmtId="38" fontId="16" fillId="18" borderId="7" applyAlignment="1" pivotButton="0" quotePrefix="0" xfId="0">
      <alignment vertical="center"/>
    </xf>
    <xf numFmtId="38" fontId="16" fillId="18" borderId="1" applyAlignment="1" pivotButton="0" quotePrefix="0" xfId="0">
      <alignment vertical="center"/>
    </xf>
    <xf numFmtId="38" fontId="16" fillId="18" borderId="8" applyAlignment="1" pivotButton="0" quotePrefix="0" xfId="0">
      <alignment vertical="center"/>
    </xf>
    <xf numFmtId="38" fontId="16" fillId="20" borderId="1" applyAlignment="1" pivotButton="0" quotePrefix="0" xfId="0">
      <alignment vertical="center"/>
    </xf>
    <xf numFmtId="38" fontId="16" fillId="20" borderId="41" applyAlignment="1" pivotButton="0" quotePrefix="0" xfId="0">
      <alignment vertical="center"/>
    </xf>
    <xf numFmtId="0" fontId="16" fillId="17" borderId="34" applyAlignment="1" pivotButton="0" quotePrefix="0" xfId="0">
      <alignment horizontal="center" vertical="center"/>
    </xf>
    <xf numFmtId="0" fontId="16" fillId="17" borderId="36" applyAlignment="1" pivotButton="0" quotePrefix="0" xfId="0">
      <alignment horizontal="center" vertical="center"/>
    </xf>
    <xf numFmtId="0" fontId="16" fillId="17" borderId="37" applyAlignment="1" pivotButton="0" quotePrefix="0" xfId="0">
      <alignment horizontal="center" vertical="center"/>
    </xf>
    <xf numFmtId="0" fontId="3" fillId="14" borderId="21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4" borderId="22" applyAlignment="1" pivotButton="0" quotePrefix="0" xfId="0">
      <alignment vertical="center"/>
    </xf>
    <xf numFmtId="0" fontId="3" fillId="3" borderId="18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3" fillId="3" borderId="45" applyAlignment="1" pivotButton="0" quotePrefix="0" xfId="0">
      <alignment horizontal="left" vertical="center"/>
    </xf>
    <xf numFmtId="0" fontId="3" fillId="4" borderId="46" applyAlignment="1" pivotButton="0" quotePrefix="0" xfId="0">
      <alignment horizontal="left" vertical="center"/>
    </xf>
    <xf numFmtId="0" fontId="3" fillId="4" borderId="21" applyAlignment="1" pivotButton="0" quotePrefix="0" xfId="0">
      <alignment horizontal="left" vertical="center"/>
    </xf>
    <xf numFmtId="0" fontId="3" fillId="4" borderId="45" applyAlignment="1" pivotButton="0" quotePrefix="0" xfId="0">
      <alignment horizontal="left" vertical="center"/>
    </xf>
    <xf numFmtId="0" fontId="3" fillId="5" borderId="21" applyAlignment="1" pivotButton="0" quotePrefix="0" xfId="0">
      <alignment horizontal="left" vertical="center"/>
    </xf>
    <xf numFmtId="0" fontId="3" fillId="5" borderId="23" applyAlignment="1" pivotButton="0" quotePrefix="0" xfId="0">
      <alignment horizontal="left" vertical="center"/>
    </xf>
    <xf numFmtId="49" fontId="6" fillId="0" borderId="0" applyAlignment="1" pivotButton="0" quotePrefix="1" xfId="2">
      <alignment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/>
    </xf>
    <xf numFmtId="0" fontId="8" fillId="0" borderId="20" applyAlignment="1" pivotButton="0" quotePrefix="0" xfId="0">
      <alignment vertical="center"/>
    </xf>
    <xf numFmtId="0" fontId="3" fillId="21" borderId="18" applyAlignment="1" pivotButton="0" quotePrefix="0" xfId="0">
      <alignment horizontal="center" vertical="center"/>
    </xf>
    <xf numFmtId="0" fontId="3" fillId="21" borderId="19" applyAlignment="1" pivotButton="0" quotePrefix="0" xfId="0">
      <alignment vertical="center"/>
    </xf>
    <xf numFmtId="0" fontId="3" fillId="21" borderId="19" applyAlignment="1" pivotButton="0" quotePrefix="0" xfId="0">
      <alignment horizontal="left" vertical="center"/>
    </xf>
    <xf numFmtId="0" fontId="8" fillId="21" borderId="19" applyAlignment="1" pivotButton="0" quotePrefix="0" xfId="0">
      <alignment vertical="center"/>
    </xf>
    <xf numFmtId="0" fontId="3" fillId="21" borderId="20" applyAlignment="1" pivotButton="0" quotePrefix="0" xfId="0">
      <alignment vertical="center"/>
    </xf>
    <xf numFmtId="0" fontId="3" fillId="21" borderId="19" applyAlignment="1" pivotButton="0" quotePrefix="0" xfId="0">
      <alignment vertical="center"/>
    </xf>
    <xf numFmtId="0" fontId="3" fillId="21" borderId="20" applyAlignment="1" pivotButton="0" quotePrefix="0" xfId="0">
      <alignment vertical="center"/>
    </xf>
    <xf numFmtId="0" fontId="8" fillId="21" borderId="20" applyAlignment="1" pivotButton="0" quotePrefix="0" xfId="0">
      <alignment vertical="center"/>
    </xf>
    <xf numFmtId="38" fontId="6" fillId="21" borderId="19" applyAlignment="1" pivotButton="0" quotePrefix="1" xfId="0">
      <alignment vertical="center"/>
    </xf>
    <xf numFmtId="38" fontId="6" fillId="21" borderId="19" applyAlignment="1" pivotButton="0" quotePrefix="0" xfId="0">
      <alignment vertical="center"/>
    </xf>
    <xf numFmtId="0" fontId="3" fillId="21" borderId="23" applyAlignment="1" pivotButton="0" quotePrefix="0" xfId="0">
      <alignment horizontal="center" vertical="center"/>
    </xf>
    <xf numFmtId="0" fontId="3" fillId="21" borderId="17" applyAlignment="1" pivotButton="0" quotePrefix="0" xfId="0">
      <alignment vertical="center"/>
    </xf>
    <xf numFmtId="0" fontId="3" fillId="21" borderId="17" applyAlignment="1" pivotButton="0" quotePrefix="0" xfId="0">
      <alignment horizontal="left" vertical="center"/>
    </xf>
    <xf numFmtId="0" fontId="8" fillId="21" borderId="17" applyAlignment="1" pivotButton="0" quotePrefix="0" xfId="0">
      <alignment vertical="center"/>
    </xf>
    <xf numFmtId="0" fontId="3" fillId="21" borderId="24" applyAlignment="1" pivotButton="0" quotePrefix="0" xfId="0">
      <alignment vertical="center"/>
    </xf>
    <xf numFmtId="0" fontId="3" fillId="21" borderId="17" applyAlignment="1" pivotButton="0" quotePrefix="0" xfId="0">
      <alignment vertical="center"/>
    </xf>
    <xf numFmtId="0" fontId="3" fillId="21" borderId="24" applyAlignment="1" pivotButton="0" quotePrefix="0" xfId="0">
      <alignment vertical="center"/>
    </xf>
    <xf numFmtId="0" fontId="8" fillId="21" borderId="24" applyAlignment="1" pivotButton="0" quotePrefix="0" xfId="0">
      <alignment vertical="center"/>
    </xf>
    <xf numFmtId="38" fontId="6" fillId="21" borderId="17" applyAlignment="1" pivotButton="0" quotePrefix="1" xfId="0">
      <alignment vertical="center"/>
    </xf>
    <xf numFmtId="38" fontId="6" fillId="21" borderId="17" applyAlignment="1" pivotButton="0" quotePrefix="0" xfId="0">
      <alignment vertical="center"/>
    </xf>
    <xf numFmtId="0" fontId="3" fillId="4" borderId="19" applyAlignment="1" pivotButton="0" quotePrefix="0" xfId="0">
      <alignment horizontal="left" vertical="center"/>
    </xf>
    <xf numFmtId="0" fontId="3" fillId="22" borderId="21" applyAlignment="1" pivotButton="0" quotePrefix="0" xfId="0">
      <alignment vertical="center"/>
    </xf>
    <xf numFmtId="0" fontId="3" fillId="22" borderId="0" applyAlignment="1" pivotButton="0" quotePrefix="0" xfId="0">
      <alignment vertical="center"/>
    </xf>
    <xf numFmtId="0" fontId="3" fillId="22" borderId="22" applyAlignment="1" pivotButton="0" quotePrefix="0" xfId="0">
      <alignment vertical="center"/>
    </xf>
    <xf numFmtId="0" fontId="3" fillId="22" borderId="21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/>
    </xf>
    <xf numFmtId="0" fontId="3" fillId="22" borderId="0" applyAlignment="1" pivotButton="0" quotePrefix="0" xfId="0">
      <alignment vertical="center"/>
    </xf>
    <xf numFmtId="0" fontId="3" fillId="22" borderId="22" applyAlignment="1" pivotButton="0" quotePrefix="0" xfId="0">
      <alignment vertical="center"/>
    </xf>
    <xf numFmtId="0" fontId="3" fillId="22" borderId="0" applyAlignment="1" pivotButton="0" quotePrefix="0" xfId="0">
      <alignment horizontal="center" vertical="center"/>
    </xf>
    <xf numFmtId="0" fontId="8" fillId="22" borderId="22" applyAlignment="1" pivotButton="0" quotePrefix="0" xfId="0">
      <alignment vertical="center"/>
    </xf>
    <xf numFmtId="0" fontId="3" fillId="22" borderId="23" applyAlignment="1" pivotButton="0" quotePrefix="0" xfId="0">
      <alignment horizontal="center" vertical="center"/>
    </xf>
    <xf numFmtId="0" fontId="3" fillId="22" borderId="17" applyAlignment="1" pivotButton="0" quotePrefix="0" xfId="0">
      <alignment horizontal="left" vertical="center"/>
    </xf>
    <xf numFmtId="0" fontId="3" fillId="22" borderId="17" applyAlignment="1" pivotButton="0" quotePrefix="0" xfId="0">
      <alignment vertical="center"/>
    </xf>
    <xf numFmtId="0" fontId="3" fillId="22" borderId="24" applyAlignment="1" pivotButton="0" quotePrefix="0" xfId="0">
      <alignment vertical="center"/>
    </xf>
    <xf numFmtId="0" fontId="3" fillId="22" borderId="17" applyAlignment="1" pivotButton="0" quotePrefix="0" xfId="0">
      <alignment horizontal="center" vertical="center"/>
    </xf>
    <xf numFmtId="0" fontId="8" fillId="22" borderId="24" applyAlignment="1" pivotButton="0" quotePrefix="0" xfId="0">
      <alignment vertical="center"/>
    </xf>
    <xf numFmtId="0" fontId="4" fillId="2" borderId="31" applyAlignment="1" pivotButton="0" quotePrefix="0" xfId="0">
      <alignment horizontal="center" vertical="center" wrapText="1"/>
    </xf>
    <xf numFmtId="0" fontId="4" fillId="2" borderId="35" applyAlignment="1" pivotButton="0" quotePrefix="0" xfId="0">
      <alignment horizontal="center" vertical="center" wrapText="1"/>
    </xf>
    <xf numFmtId="0" fontId="4" fillId="2" borderId="40" applyAlignment="1" pivotButton="0" quotePrefix="0" xfId="0">
      <alignment horizontal="center" vertical="center" wrapText="1"/>
    </xf>
    <xf numFmtId="9" fontId="15" fillId="23" borderId="16" applyAlignment="1" pivotButton="0" quotePrefix="0" xfId="0">
      <alignment horizontal="center" vertical="center"/>
    </xf>
    <xf numFmtId="3" fontId="3" fillId="6" borderId="13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5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8" fillId="10" borderId="5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16" borderId="50" applyAlignment="1" pivotButton="0" quotePrefix="0" xfId="0">
      <alignment horizontal="center" vertical="center"/>
    </xf>
    <xf numFmtId="0" fontId="6" fillId="15" borderId="50" applyAlignment="1" pivotButton="0" quotePrefix="0" xfId="0">
      <alignment horizontal="center" vertical="center"/>
    </xf>
    <xf numFmtId="0" fontId="3" fillId="24" borderId="0" applyAlignment="1" pivotButton="0" quotePrefix="0" xfId="0">
      <alignment vertical="center"/>
    </xf>
    <xf numFmtId="0" fontId="4" fillId="2" borderId="52" applyAlignment="1" pivotButton="0" quotePrefix="0" xfId="0">
      <alignment horizontal="center" vertical="center" wrapText="1"/>
    </xf>
    <xf numFmtId="38" fontId="16" fillId="17" borderId="47" applyAlignment="1" pivotButton="0" quotePrefix="0" xfId="0">
      <alignment horizontal="center" vertical="center"/>
    </xf>
    <xf numFmtId="0" fontId="16" fillId="1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" pivotButton="0" quotePrefix="0" xfId="0"/>
    <xf numFmtId="0" fontId="0" fillId="0" borderId="26" pivotButton="0" quotePrefix="0" xfId="0"/>
    <xf numFmtId="0" fontId="0" fillId="0" borderId="36" pivotButton="0" quotePrefix="0" xfId="0"/>
    <xf numFmtId="0" fontId="0" fillId="0" borderId="27" pivotButton="0" quotePrefix="0" xfId="0"/>
    <xf numFmtId="0" fontId="0" fillId="0" borderId="37" pivotButton="0" quotePrefix="0" xfId="0"/>
    <xf numFmtId="38" fontId="16" fillId="19" borderId="44" applyAlignment="1" pivotButton="0" quotePrefix="0" xfId="0">
      <alignment horizontal="center" vertical="center"/>
    </xf>
    <xf numFmtId="0" fontId="4" fillId="5" borderId="49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42" pivotButton="0" quotePrefix="0" xfId="0"/>
    <xf numFmtId="164" fontId="17" fillId="0" borderId="0" applyAlignment="1" pivotButton="0" quotePrefix="0" xfId="1">
      <alignment vertical="center"/>
    </xf>
    <xf numFmtId="0" fontId="18" fillId="0" borderId="0" pivotButton="0" quotePrefix="0" xfId="0"/>
    <xf numFmtId="165" fontId="0" fillId="0" borderId="0" pivotButton="0" quotePrefix="0" xfId="0"/>
    <xf numFmtId="0" fontId="19" fillId="0" borderId="0" pivotButton="0" quotePrefix="0" xfId="0"/>
    <xf numFmtId="166" fontId="0" fillId="0" borderId="0" pivotButton="0" quotePrefix="0" xfId="0"/>
    <xf numFmtId="38" fontId="16" fillId="24" borderId="1" applyAlignment="1" pivotButton="0" quotePrefix="0" xfId="0">
      <alignment vertical="center"/>
    </xf>
  </cellXfs>
  <cellStyles count="3">
    <cellStyle name="一般" xfId="0" builtinId="0"/>
    <cellStyle name="千分位" xfId="1" builtinId="3"/>
    <cellStyle name="千分位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檢核</author>
  </authors>
  <commentList>
    <comment ref="F21" authorId="0" shapeId="0">
      <text>
        <t>修正：原寫死5；毛利=收入105.26-成本100=5.26，寫死使本筆借貸差0.263</t>
      </text>
    </comment>
    <comment ref="K21" authorId="0" shapeId="0">
      <text>
        <t>修正：同F21</t>
      </text>
    </comment>
    <comment ref="E50" authorId="0" shapeId="0">
      <text>
        <t>修正：只加BIM分錄列(4-10,16-22,31-33,42-46)，排除ELIA/TBU列。原式 =SUMIF($D$2:$D$47,$C50,$F$2:$F$47)</t>
      </text>
    </comment>
    <comment ref="J50" authorId="0" shapeId="0">
      <text>
        <t>修正：只加BIM分錄列(4-10,16-22,31-33,42-46)，排除ELIA/TBU列。原式 =SUMIF($I$2:$I$47,$H50,$K$2:$K$47)</t>
      </text>
    </comment>
    <comment ref="O50" authorId="0" shapeId="0">
      <text>
        <t>修正：只加BIM分錄列(4-10,16-22,31-33,42-46)，排除ELIA/TBU列。原式 =SUMIF($N$2:$N$47,$M50,$P$2:$P$47)</t>
      </text>
    </comment>
    <comment ref="T50" authorId="0" shapeId="0">
      <text>
        <t>修正：只加BIM分錄列(4-10,16-22,31-33,42-46)，排除ELIA/TBU列。原式 =SUMIF($S$2:$S$47,$R50,$U$2:$U$47)</t>
      </text>
    </comment>
    <comment ref="E51" authorId="0" shapeId="0">
      <text>
        <t>修正：只加BIM分錄列(4-10,16-22,31-33,42-46)，排除ELIA/TBU列。原式 =SUMIF($D$2:$D$47,$C51,$F$2:$F$47)</t>
      </text>
    </comment>
    <comment ref="J51" authorId="0" shapeId="0">
      <text>
        <t>修正：只加BIM分錄列(4-10,16-22,31-33,42-46)，排除ELIA/TBU列。原式 =SUMIF($I$2:$I$47,$H51,$K$2:$K$47)</t>
      </text>
    </comment>
    <comment ref="O51" authorId="0" shapeId="0">
      <text>
        <t>修正：只加BIM分錄列(4-10,16-22,31-33,42-46)，排除ELIA/TBU列。原式 =SUMIF($N$2:$N$47,$M51,$P$2:$P$47)</t>
      </text>
    </comment>
    <comment ref="T51" authorId="0" shapeId="0">
      <text>
        <t>修正：只加BIM分錄列(4-10,16-22,31-33,42-46)，排除ELIA/TBU列。原式 =SUMIF($S$2:$S$47,$R51,$U$2:$U$47)</t>
      </text>
    </comment>
    <comment ref="E52" authorId="0" shapeId="0">
      <text>
        <t>修正：只加BIM分錄列(4-10,16-22,31-33,42-46)，排除ELIA/TBU列。原式 =SUMIF($D$2:$D$34,$C52,$F$2:$F$34)</t>
      </text>
    </comment>
    <comment ref="J52" authorId="0" shapeId="0">
      <text>
        <t>修正：只加BIM分錄列(4-10,16-22,31-33,42-46)，排除ELIA/TBU列。原式 =SUMIF($I$2:$I$34,$H52,$K$2:$K$34)</t>
      </text>
    </comment>
    <comment ref="O52" authorId="0" shapeId="0">
      <text>
        <t>修正：只加BIM分錄列(4-10,16-22,31-33,42-46)，排除ELIA/TBU列。原式 =SUMIF($N$2:$N$34,$M52,$P$2:$P$34)</t>
      </text>
    </comment>
    <comment ref="T52" authorId="0" shapeId="0">
      <text>
        <t>修正：只加BIM分錄列(4-10,16-22,31-33,42-46)，排除ELIA/TBU列。原式 =SUMIF($S$2:$S$34,$R52,$U$2:$U$34)</t>
      </text>
    </comment>
    <comment ref="E53" authorId="0" shapeId="0">
      <text>
        <t>修正：只加BIM分錄列(4-10,16-22,31-33,42-46)，排除ELIA/TBU列。原式 =SUMIF($D$2:$D$47,$C53,$F$2:$F$47)</t>
      </text>
    </comment>
    <comment ref="J53" authorId="0" shapeId="0">
      <text>
        <t>修正：只加BIM分錄列(4-10,16-22,31-33,42-46)，排除ELIA/TBU列。原式 =SUMIF($I$2:$I$47,$H53,$K$2:$K$47)</t>
      </text>
    </comment>
    <comment ref="O53" authorId="0" shapeId="0">
      <text>
        <t>修正：只加BIM分錄列(4-10,16-22,31-33,42-46)，排除ELIA/TBU列。原式 =SUMIF($N$2:$N$47,$M53,$P$2:$P$47)</t>
      </text>
    </comment>
    <comment ref="T53" authorId="0" shapeId="0">
      <text>
        <t>修正：只加BIM分錄列(4-10,16-22,31-33,42-46)，排除ELIA/TBU列。原式 =SUMIF($S$2:$S$47,$R53,$U$2:$U$47)</t>
      </text>
    </comment>
    <comment ref="E54" authorId="0" shapeId="0">
      <text>
        <t>修正：只加BIM分錄列(4-10,16-22,31-33,42-46)，排除ELIA/TBU列。原式 =SUMIF($D$2:$D$47,$C54,$F$2:$F$47)</t>
      </text>
    </comment>
    <comment ref="J54" authorId="0" shapeId="0">
      <text>
        <t>修正：只加BIM分錄列(4-10,16-22,31-33,42-46)，排除ELIA/TBU列。原式 =SUMIF($I$2:$I$47,$H54,$K$2:$K$47)</t>
      </text>
    </comment>
    <comment ref="O54" authorId="0" shapeId="0">
      <text>
        <t>修正：只加BIM分錄列(4-10,16-22,31-33,42-46)，排除ELIA/TBU列。原式 =SUMIF($N$2:$N$47,$M54,$P$2:$P$47)</t>
      </text>
    </comment>
    <comment ref="T54" authorId="0" shapeId="0">
      <text>
        <t>修正：只加BIM分錄列(4-10,16-22,31-33,42-46)，排除ELIA/TBU列。原式 =SUMIF($S$2:$S$47,$R54,$U$2:$U$47)</t>
      </text>
    </comment>
    <comment ref="E55" authorId="0" shapeId="0">
      <text>
        <t>修正：只加BIM分錄列(4-10,16-22,31-33,42-46)，排除ELIA/TBU列。原式 =SUMIF($D$2:$D$47,$C55,$F$2:$F$47)</t>
      </text>
    </comment>
    <comment ref="J55" authorId="0" shapeId="0">
      <text>
        <t>修正：只加BIM分錄列(4-10,16-22,31-33,42-46)，排除ELIA/TBU列。原式 =SUMIF($I$2:$I$47,$H55,$K$2:$K$47)</t>
      </text>
    </comment>
    <comment ref="O55" authorId="0" shapeId="0">
      <text>
        <t>修正：只加BIM分錄列(4-10,16-22,31-33,42-46)，排除ELIA/TBU列。原式 =SUMIF($N$2:$N$47,$M55,$P$2:$P$47)</t>
      </text>
    </comment>
    <comment ref="T55" authorId="0" shapeId="0">
      <text>
        <t>修正：只加BIM分錄列(4-10,16-22,31-33,42-46)，排除ELIA/TBU列。原式 =SUMIF($S$2:$S$47,$R55,$U$2:$U$47)</t>
      </text>
    </comment>
    <comment ref="E56" authorId="0" shapeId="0">
      <text>
        <t>修正：只加BIM分錄列(4-10,16-22,31-33,42-46)，排除ELIA/TBU列。原式 =SUMIF($D$2:$D$47,$C56,$F$2:$F$47)</t>
      </text>
    </comment>
    <comment ref="J56" authorId="0" shapeId="0">
      <text>
        <t>修正：只加BIM分錄列(4-10,16-22,31-33,42-46)，排除ELIA/TBU列。原式 =SUMIF($I$2:$I$47,$H56,$K$2:$K$47)</t>
      </text>
    </comment>
    <comment ref="O56" authorId="0" shapeId="0">
      <text>
        <t>修正：只加BIM分錄列(4-10,16-22,31-33,42-46)，排除ELIA/TBU列。原式 =SUMIF($N$2:$N$47,$M56,$P$2:$P$47)</t>
      </text>
    </comment>
    <comment ref="T56" authorId="0" shapeId="0">
      <text>
        <t>修正：只加BIM分錄列(4-10,16-22,31-33,42-46)，排除ELIA/TBU列。原式 =SUMIF($S$2:$S$47,$R56,$U$2:$U$47)</t>
      </text>
    </comment>
    <comment ref="E57" authorId="0" shapeId="0">
      <text>
        <t>修正：只加BIM分錄列(4-10,16-22,31-33,42-46)，排除ELIA/TBU列。原式 =SUMIF($D$2:$D$47,$C57,$F$2:$F$47)</t>
      </text>
    </comment>
    <comment ref="J57" authorId="0" shapeId="0">
      <text>
        <t>修正：只加BIM分錄列(4-10,16-22,31-33,42-46)，排除ELIA/TBU列。原式 =SUMIF($I$2:$I$47,$H57,$K$2:$K$47)</t>
      </text>
    </comment>
    <comment ref="O57" authorId="0" shapeId="0">
      <text>
        <t>修正：只加BIM分錄列(4-10,16-22,31-33,42-46)，排除ELIA/TBU列。原式 =SUMIF($N$2:$N$47,$M57,$P$2:$P$47)</t>
      </text>
    </comment>
    <comment ref="T57" authorId="0" shapeId="0">
      <text>
        <t>修正：只加BIM分錄列(4-10,16-22,31-33,42-46)，排除ELIA/TBU列。原式 =SUMIF($S$2:$S$47,$R57,$U$2:$U$47)</t>
      </text>
    </comment>
    <comment ref="E58" authorId="0" shapeId="0">
      <text>
        <t>修正：只加BIM分錄列(4-10,16-22,31-33,42-46)，排除ELIA/TBU列。原式 =SUMIF($D$2:$D$47,$C58,$F$2:$F$47)</t>
      </text>
    </comment>
    <comment ref="J58" authorId="0" shapeId="0">
      <text>
        <t>修正：只加BIM分錄列(4-10,16-22,31-33,42-46)，排除ELIA/TBU列。原式 =SUMIF($I$2:$I$47,$H58,$K$2:$K$47)</t>
      </text>
    </comment>
    <comment ref="O58" authorId="0" shapeId="0">
      <text>
        <t>修正：只加BIM分錄列(4-10,16-22,31-33,42-46)，排除ELIA/TBU列。原式 =SUMIF($N$2:$N$47,$M58,$P$2:$P$47)</t>
      </text>
    </comment>
    <comment ref="T58" authorId="0" shapeId="0">
      <text>
        <t>修正：只加BIM分錄列(4-10,16-22,31-33,42-46)，排除ELIA/TBU列。原式 =SUMIF($S$2:$S$47,$R58,$U$2:$U$47)</t>
      </text>
    </comment>
    <comment ref="E59" authorId="0" shapeId="0">
      <text>
        <t>修正：只加BIM分錄列(4-10,16-22,31-33,42-46)，排除ELIA/TBU列。原式 =SUMIF($D$2:$D$47,$C59,$F$2:$F$47)</t>
      </text>
    </comment>
    <comment ref="J59" authorId="0" shapeId="0">
      <text>
        <t>修正：只加BIM分錄列(4-10,16-22,31-33,42-46)，排除ELIA/TBU列。原式 =SUMIF($I$2:$I$47,$H59,$K$2:$K$47)</t>
      </text>
    </comment>
    <comment ref="O59" authorId="0" shapeId="0">
      <text>
        <t>修正：只加BIM分錄列(4-10,16-22,31-33,42-46)，排除ELIA/TBU列。原式 =SUMIF($N$2:$N$34,$M59,$P$2:$P$34)</t>
      </text>
    </comment>
    <comment ref="T59" authorId="0" shapeId="0">
      <text>
        <t>修正：只加BIM分錄列(4-10,16-22,31-33,42-46)，排除ELIA/TBU列。原式 =SUMIF($S$2:$S$34,$R59,$U$2:$U$34)</t>
      </text>
    </comment>
    <comment ref="E60" authorId="0" shapeId="0">
      <text>
        <t>修正：只加BIM分錄列(4-10,16-22,31-33,42-46)，排除ELIA/TBU列。原式 =SUMIF($D$2:$D$47,$C60,$F$2:$F$47)</t>
      </text>
    </comment>
    <comment ref="J60" authorId="0" shapeId="0">
      <text>
        <t>修正：只加BIM分錄列(4-10,16-22,31-33,42-46)，排除ELIA/TBU列。原式 =SUMIF($I$2:$I$47,$H60,$K$2:$K$47)</t>
      </text>
    </comment>
    <comment ref="O60" authorId="0" shapeId="0">
      <text>
        <t>修正：只加BIM分錄列(4-10,16-22,31-33,42-46)，排除ELIA/TBU列。原式 =SUMIF($N$2:$N$47,$M60,$P$2:$P$47)</t>
      </text>
    </comment>
    <comment ref="T60" authorId="0" shapeId="0">
      <text>
        <t>修正：只加BIM分錄列(4-10,16-22,31-33,42-46)，排除ELIA/TBU列。原式 =SUMIF($S$2:$S$47,$R60,$U$2:$U$47)</t>
      </text>
    </comment>
    <comment ref="J61" authorId="0" shapeId="0">
      <text>
        <t>修正：只加BIM分錄列(4-10,16-22,31-33,42-46)，排除ELIA/TBU列。原式 =SUMIF($I$2:$I$47,$H61,$K$2:$K$47)</t>
      </text>
    </comment>
    <comment ref="O61" authorId="0" shapeId="0">
      <text>
        <t>修正：只加BIM分錄列(4-10,16-22,31-33,42-46)，排除ELIA/TBU列。原式 =SUMIF($N$2:$N$47,$M61,$P$2:$P$47)</t>
      </text>
    </comment>
    <comment ref="T61" authorId="0" shapeId="0">
      <text>
        <t>修正：只加BIM分錄列(4-10,16-22,31-33,42-46)，排除ELIA/TBU列。原式 =SUMIF($S$2:$S$47,$R61,$U$2:$U$47)</t>
      </text>
    </comment>
    <comment ref="E62" authorId="0" shapeId="0">
      <text>
        <t>修正：只加BIM分錄列(4-10,16-22,31-33,42-46)，排除ELIA/TBU列。原式 =SUMIF($D$2:$D$47,$C62,$F$2:$F$47)</t>
      </text>
    </comment>
    <comment ref="J62" authorId="0" shapeId="0">
      <text>
        <t>修正：只加BIM分錄列(4-10,16-22,31-33,42-46)，排除ELIA/TBU列。原式 =SUMIF($I$2:$I$47,$H62,$K$2:$K$47)</t>
      </text>
    </comment>
    <comment ref="O62" authorId="0" shapeId="0">
      <text>
        <t>修正：只加BIM分錄列(4-10,16-22,31-33,42-46)，排除ELIA/TBU列。原式 =SUMIF($N$2:$N$36,$M62,$P$2:$P$36)</t>
      </text>
    </comment>
    <comment ref="T62" authorId="0" shapeId="0">
      <text>
        <t>修正：只加BIM分錄列(4-10,16-22,31-33,42-46)，排除ELIA/TBU列。原式 =SUMIF($S$2:$S$36,$R62,$U$2:$U$36)</t>
      </text>
    </comment>
    <comment ref="E63" authorId="0" shapeId="0">
      <text>
        <t>修正：只加BIM分錄列(4-10,16-22,31-33,42-46)，排除ELIA/TBU列。原式 =SUMIF($D$2:$D$47,$C63,$F$2:$F$47)</t>
      </text>
    </comment>
    <comment ref="J63" authorId="0" shapeId="0">
      <text>
        <t>修正：只加BIM分錄列(4-10,16-22,31-33,42-46)，排除ELIA/TBU列。原式 =SUMIF($I$2:$I$47,$H63,$K$2:$K$47)</t>
      </text>
    </comment>
    <comment ref="O63" authorId="0" shapeId="0">
      <text>
        <t>修正：只加BIM分錄列(4-10,16-22,31-33,42-46)，排除ELIA/TBU列。原式 =SUMIF($N$2:$N$47,$M63,$P$2:$P$47)</t>
      </text>
    </comment>
    <comment ref="T63" authorId="0" shapeId="0">
      <text>
        <t>修正：只加BIM分錄列(4-10,16-22,31-33,42-46)，排除ELIA/TBU列。原式 =SUMIF($S$2:$S$47,$R63,$U$2:$U$47)</t>
      </text>
    </comment>
    <comment ref="J64" authorId="0" shapeId="0">
      <text>
        <t>修正：只加BIM分錄列(4-10,16-22,31-33,42-46)，排除ELIA/TBU列。原式 =SUMIF($I$2:$I$47,$H64,$K$2:$K$47)</t>
      </text>
    </comment>
    <comment ref="O64" authorId="0" shapeId="0">
      <text>
        <t>修正：只加BIM分錄列(4-10,16-22,31-33,42-46)，排除ELIA/TBU列。原式 =SUMIF($N$2:$N$47,$M64,$P$2:$P$47)</t>
      </text>
    </comment>
    <comment ref="T64" authorId="0" shapeId="0">
      <text>
        <t>修正：只加BIM分錄列(4-10,16-22,31-33,42-46)，排除ELIA/TBU列。原式 =SUMIF($S$2:$S$47,$R64,$U$2:$U$47)</t>
      </text>
    </comment>
    <comment ref="J65" authorId="0" shapeId="0">
      <text>
        <t>修正：只加BIM分錄列(4-10,16-22,31-33,42-46)，排除ELIA/TBU列。原式 =SUMIF($I$2:$I$47,$H65,$K$2:$K$47)</t>
      </text>
    </comment>
    <comment ref="O65" authorId="0" shapeId="0">
      <text>
        <t>修正：只加BIM分錄列(4-10,16-22,31-33,42-46)，排除ELIA/TBU列。原式 =SUMIF($N$2:$N$47,$M65,$P$2:$P$47)</t>
      </text>
    </comment>
    <comment ref="T65" authorId="0" shapeId="0">
      <text>
        <t>修正：只加BIM分錄列(4-10,16-22,31-33,42-46)，排除ELIA/TBU列。原式 =SUMIF($S$2:$S$37,$R65,$U$2:$U$37)</t>
      </text>
    </comment>
    <comment ref="E66" authorId="0" shapeId="0">
      <text>
        <t>修正：只加BIM分錄列(4-10,16-22,31-33,42-46)，排除ELIA/TBU列。原式 =SUMIF($D$2:$D$47,$C66,$F$2:$F$47)</t>
      </text>
    </comment>
    <comment ref="J66" authorId="0" shapeId="0">
      <text>
        <t>修正：只加BIM分錄列(4-10,16-22,31-33,42-46)，排除ELIA/TBU列。原式 =SUMIF($I$2:$I$47,$H66,$K$2:$K$47)</t>
      </text>
    </comment>
    <comment ref="O66" authorId="0" shapeId="0">
      <text>
        <t>修正：只加BIM分錄列(4-10,16-22,31-33,42-46)，排除ELIA/TBU列。原式 =SUMIF($N$2:$N$47,$M66,$P$2:$P$47)</t>
      </text>
    </comment>
    <comment ref="T66" authorId="0" shapeId="0">
      <text>
        <t>修正：只加BIM分錄列(4-10,16-22,31-33,42-46)，排除ELIA/TBU列。原式 =SUMIF($S$2:$S$47,$R66,$U$2:$U$47)</t>
      </text>
    </comment>
    <comment ref="E67" authorId="0" shapeId="0">
      <text>
        <t>修正：只加BIM分錄列(4-10,16-22,31-33,42-46)，排除ELIA/TBU列。原式 =SUMIF($D$2:$D$47,$C67,$F$2:$F$47)</t>
      </text>
    </comment>
    <comment ref="J67" authorId="0" shapeId="0">
      <text>
        <t>修正：只加BIM分錄列(4-10,16-22,31-33,42-46)，排除ELIA/TBU列。原式 =SUMIF($I$2:$I$47,$H67,$K$2:$K$47)</t>
      </text>
    </comment>
    <comment ref="O67" authorId="0" shapeId="0">
      <text>
        <t>修正：只加BIM分錄列(4-10,16-22,31-33,42-46)，排除ELIA/TBU列。原式 =SUMIF($N$2:$N$47,$M67,$P$2:$P$47)</t>
      </text>
    </comment>
    <comment ref="T67" authorId="0" shapeId="0">
      <text>
        <t>修正：只加BIM分錄列(4-10,16-22,31-33,42-46)，排除ELIA/TBU列。原式 =SUMIF($S$2:$S$47,$R67,$U$2:$U$47)</t>
      </text>
    </comment>
    <comment ref="E68" authorId="0" shapeId="0">
      <text>
        <t>修正：只加BIM分錄列(4-10,16-22,31-33,42-46)，排除ELIA/TBU列。原式 =SUMIF($D$2:$D$47,$C68,$F$2:$F$47)</t>
      </text>
    </comment>
    <comment ref="J68" authorId="0" shapeId="0">
      <text>
        <t>修正：只加BIM分錄列(4-10,16-22,31-33,42-46)，排除ELIA/TBU列。原式 =SUMIF($I$2:$I$47,$H68,$K$2:$K$47)</t>
      </text>
    </comment>
    <comment ref="O68" authorId="0" shapeId="0">
      <text>
        <t>修正：只加BIM分錄列(4-10,16-22,31-33,42-46)，排除ELIA/TBU列。原式 =SUMIF($N$2:$N$47,$M68,$P$2:$P$47)</t>
      </text>
    </comment>
    <comment ref="T68" authorId="0" shapeId="0">
      <text>
        <t>修正：只加BIM分錄列(4-10,16-22,31-33,42-46)，排除ELIA/TBU列。原式 =SUMIF($S$2:$S$47,$R68,$U$2:$U$47)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tabSelected="1" zoomScale="70" zoomScaleNormal="70" workbookViewId="0">
      <pane xSplit="2" ySplit="3" topLeftCell="C25" activePane="bottomRight" state="frozen"/>
      <selection pane="topRight" activeCell="C1" sqref="C1"/>
      <selection pane="bottomLeft" activeCell="A3" sqref="A3"/>
      <selection pane="bottomRight" activeCell="C2" sqref="C2:G2"/>
    </sheetView>
  </sheetViews>
  <sheetFormatPr baseColWidth="8" defaultRowHeight="15.6"/>
  <cols>
    <col width="5.109375" bestFit="1" customWidth="1" style="79" min="1" max="1"/>
    <col width="15.6640625" bestFit="1" customWidth="1" style="79" min="2" max="2"/>
    <col width="11.33203125" customWidth="1" style="79" min="3" max="3"/>
    <col width="23.88671875" bestFit="1" customWidth="1" style="79" min="4" max="4"/>
    <col width="30.21875" bestFit="1" customWidth="1" style="79" min="5" max="5"/>
    <col width="11.6640625" customWidth="1" style="79" min="6" max="6"/>
    <col width="24.44140625" bestFit="1" customWidth="1" style="79" min="7" max="7"/>
    <col width="17.88671875" bestFit="1" customWidth="1" style="79" min="8" max="8"/>
    <col width="23.88671875" bestFit="1" customWidth="1" style="79" min="9" max="9"/>
    <col width="23" bestFit="1" customWidth="1" style="79" min="10" max="10"/>
    <col width="6.6640625" bestFit="1" customWidth="1" style="79" min="11" max="11"/>
    <col width="20.44140625" bestFit="1" customWidth="1" style="79" min="12" max="12"/>
    <col width="12.44140625" customWidth="1" style="79" min="13" max="13"/>
    <col width="23.88671875" bestFit="1" customWidth="1" style="79" min="14" max="14"/>
    <col width="23" bestFit="1" customWidth="1" style="79" min="15" max="15"/>
    <col width="8.5546875" bestFit="1" customWidth="1" style="79" min="16" max="16"/>
    <col width="37.6640625" bestFit="1" customWidth="1" style="79" min="17" max="17"/>
    <col width="12.44140625" bestFit="1" customWidth="1" style="79" min="18" max="18"/>
    <col width="23.88671875" bestFit="1" customWidth="1" style="79" min="19" max="19"/>
    <col width="28.21875" bestFit="1" customWidth="1" style="79" min="20" max="20"/>
    <col width="8.88671875" customWidth="1" style="79" min="21" max="21"/>
    <col width="37.6640625" bestFit="1" customWidth="1" style="79" min="22" max="22"/>
    <col width="8.88671875" customWidth="1" style="79" min="23" max="16384"/>
  </cols>
  <sheetData>
    <row r="1" ht="24" customHeight="1" s="186" thickBot="1">
      <c r="C1" s="187" t="inlineStr">
        <is>
          <t>poc</t>
        </is>
      </c>
      <c r="D1" s="188" t="n"/>
      <c r="E1" s="188" t="n"/>
      <c r="F1" s="188" t="n"/>
      <c r="G1" s="188" t="n"/>
      <c r="H1" s="188" t="n"/>
      <c r="I1" s="188" t="n"/>
      <c r="J1" s="188" t="n"/>
      <c r="K1" s="188" t="n"/>
      <c r="L1" s="189" t="n"/>
      <c r="M1" s="187" t="inlineStr">
        <is>
          <t>非POC</t>
        </is>
      </c>
      <c r="N1" s="188" t="n"/>
      <c r="O1" s="188" t="n"/>
      <c r="P1" s="188" t="n"/>
      <c r="Q1" s="188" t="n"/>
      <c r="R1" s="188" t="n"/>
      <c r="S1" s="188" t="n"/>
      <c r="T1" s="188" t="n"/>
      <c r="U1" s="188" t="n"/>
      <c r="V1" s="189" t="n"/>
    </row>
    <row r="2">
      <c r="A2" s="60" t="n"/>
      <c r="B2" s="61" t="n"/>
      <c r="C2" s="190" t="inlineStr">
        <is>
          <t>內案(POC)</t>
        </is>
      </c>
      <c r="D2" s="191" t="n"/>
      <c r="E2" s="191" t="n"/>
      <c r="F2" s="191" t="n"/>
      <c r="G2" s="192" t="n"/>
      <c r="H2" s="63" t="inlineStr">
        <is>
          <t>外案(POC)</t>
        </is>
      </c>
      <c r="I2" s="191" t="n"/>
      <c r="J2" s="191" t="n"/>
      <c r="K2" s="191" t="n"/>
      <c r="L2" s="192" t="n"/>
      <c r="M2" s="193" t="inlineStr">
        <is>
          <t>非POC之內案(雜項)C/99992、C/9999B</t>
        </is>
      </c>
      <c r="N2" s="191" t="n"/>
      <c r="O2" s="191" t="n"/>
      <c r="P2" s="191" t="n"/>
      <c r="Q2" s="192" t="n"/>
      <c r="R2" s="194" t="inlineStr">
        <is>
          <t>非POC之內案(備標)對象為公司業務部 C/99993、C/9999D</t>
        </is>
      </c>
      <c r="S2" s="191" t="n"/>
      <c r="T2" s="191" t="n"/>
      <c r="U2" s="191" t="n"/>
      <c r="V2" s="192" t="n"/>
    </row>
    <row r="3" ht="17.4" customHeight="1" s="186">
      <c r="A3" s="41" t="inlineStr">
        <is>
          <t>No.</t>
        </is>
      </c>
      <c r="B3" s="42" t="inlineStr">
        <is>
          <t>交易性質</t>
        </is>
      </c>
      <c r="C3" s="41" t="inlineStr">
        <is>
          <t>借/貸</t>
        </is>
      </c>
      <c r="D3" s="42" t="inlineStr">
        <is>
          <t>會科代號</t>
        </is>
      </c>
      <c r="E3" s="42" t="inlineStr">
        <is>
          <t>會科名稱</t>
        </is>
      </c>
      <c r="F3" s="42" t="inlineStr">
        <is>
          <t>金額</t>
        </is>
      </c>
      <c r="G3" s="43" t="inlineStr">
        <is>
          <t>備註</t>
        </is>
      </c>
      <c r="H3" s="42" t="inlineStr">
        <is>
          <t>借/貸</t>
        </is>
      </c>
      <c r="I3" s="42" t="inlineStr">
        <is>
          <t>會科代號</t>
        </is>
      </c>
      <c r="J3" s="42" t="inlineStr">
        <is>
          <t>會科名稱</t>
        </is>
      </c>
      <c r="K3" s="42" t="inlineStr">
        <is>
          <t>金額</t>
        </is>
      </c>
      <c r="L3" s="43" t="inlineStr">
        <is>
          <t>備註</t>
        </is>
      </c>
      <c r="M3" s="41" t="inlineStr">
        <is>
          <t>借/貸</t>
        </is>
      </c>
      <c r="N3" s="42" t="inlineStr">
        <is>
          <t>會科代號</t>
        </is>
      </c>
      <c r="O3" s="42" t="inlineStr">
        <is>
          <t>會科名稱</t>
        </is>
      </c>
      <c r="P3" s="42" t="inlineStr">
        <is>
          <t>金額</t>
        </is>
      </c>
      <c r="Q3" s="43" t="inlineStr">
        <is>
          <t>備註</t>
        </is>
      </c>
      <c r="R3" s="41" t="inlineStr">
        <is>
          <t>借/貸</t>
        </is>
      </c>
      <c r="S3" s="42" t="inlineStr">
        <is>
          <t>會科代號</t>
        </is>
      </c>
      <c r="T3" s="42" t="inlineStr">
        <is>
          <t>會科名稱</t>
        </is>
      </c>
      <c r="U3" s="42" t="inlineStr">
        <is>
          <t>金額</t>
        </is>
      </c>
      <c r="V3" s="43" t="inlineStr">
        <is>
          <t>備註</t>
        </is>
      </c>
    </row>
    <row r="4">
      <c r="A4" s="81" t="n">
        <v>1</v>
      </c>
      <c r="B4" s="64" t="inlineStr">
        <is>
          <t>費用入帳</t>
        </is>
      </c>
      <c r="C4" s="81" t="inlineStr">
        <is>
          <t>Dr.</t>
        </is>
      </c>
      <c r="D4" s="45" t="inlineStr">
        <is>
          <t>62xxxxxx</t>
        </is>
      </c>
      <c r="E4" s="46" t="inlineStr">
        <is>
          <t>辦公室費用</t>
        </is>
      </c>
      <c r="F4" s="46">
        <f>$E$79</f>
        <v/>
      </c>
      <c r="G4" s="47" t="n"/>
      <c r="H4" s="32" t="inlineStr">
        <is>
          <t>Dr.</t>
        </is>
      </c>
      <c r="I4" s="45" t="inlineStr">
        <is>
          <t>62xxxxxx</t>
        </is>
      </c>
      <c r="J4" s="46" t="inlineStr">
        <is>
          <t>辦公室費用</t>
        </is>
      </c>
      <c r="K4" s="46">
        <f>$E$79</f>
        <v/>
      </c>
      <c r="L4" s="80" t="n"/>
      <c r="M4" s="81" t="inlineStr">
        <is>
          <t>Dr.</t>
        </is>
      </c>
      <c r="N4" s="45" t="inlineStr">
        <is>
          <t>62xxxxxx</t>
        </is>
      </c>
      <c r="O4" s="46" t="inlineStr">
        <is>
          <t>辦公室費用</t>
        </is>
      </c>
      <c r="P4" s="46">
        <f>$E$79</f>
        <v/>
      </c>
      <c r="Q4" s="80" t="n"/>
      <c r="R4" s="81" t="inlineStr">
        <is>
          <t>Dr.</t>
        </is>
      </c>
      <c r="S4" s="45" t="inlineStr">
        <is>
          <t>62xxxxxx</t>
        </is>
      </c>
      <c r="T4" s="46" t="inlineStr">
        <is>
          <t>辦公室費用</t>
        </is>
      </c>
      <c r="U4" s="46">
        <f>$E$79</f>
        <v/>
      </c>
      <c r="V4" s="80" t="n"/>
    </row>
    <row r="5" customFormat="1" s="50">
      <c r="A5" s="48" t="n"/>
      <c r="C5" s="48" t="inlineStr">
        <is>
          <t>Dr.</t>
        </is>
      </c>
      <c r="D5" s="49" t="n">
        <v>12640000</v>
      </c>
      <c r="E5" s="50" t="inlineStr">
        <is>
          <t>進項稅額</t>
        </is>
      </c>
      <c r="F5" s="50">
        <f>F4*5%</f>
        <v/>
      </c>
      <c r="G5" s="51" t="n"/>
      <c r="H5" s="65" t="inlineStr">
        <is>
          <t>Dr.</t>
        </is>
      </c>
      <c r="I5" s="49" t="n">
        <v>12640000</v>
      </c>
      <c r="J5" s="50" t="inlineStr">
        <is>
          <t>進項稅額</t>
        </is>
      </c>
      <c r="K5" s="50">
        <f>K4*5%</f>
        <v/>
      </c>
      <c r="L5" s="51" t="n"/>
      <c r="M5" s="48" t="inlineStr">
        <is>
          <t>Dr.</t>
        </is>
      </c>
      <c r="N5" s="49" t="n">
        <v>12640000</v>
      </c>
      <c r="O5" s="50" t="inlineStr">
        <is>
          <t>進項稅額</t>
        </is>
      </c>
      <c r="P5" s="50">
        <f>P4*5%</f>
        <v/>
      </c>
      <c r="Q5" s="51" t="n"/>
      <c r="R5" s="48" t="inlineStr">
        <is>
          <t>Dr.</t>
        </is>
      </c>
      <c r="S5" s="49" t="n">
        <v>12640000</v>
      </c>
      <c r="T5" s="50" t="inlineStr">
        <is>
          <t>進項稅額</t>
        </is>
      </c>
      <c r="U5" s="50">
        <f>U4*5%</f>
        <v/>
      </c>
      <c r="V5" s="51" t="n"/>
    </row>
    <row r="6">
      <c r="A6" s="81" t="n"/>
      <c r="B6" s="46" t="n"/>
      <c r="C6" s="81" t="inlineStr">
        <is>
          <t>Cr.</t>
        </is>
      </c>
      <c r="D6" s="45" t="n">
        <v>21430000</v>
      </c>
      <c r="E6" s="46" t="inlineStr">
        <is>
          <t>應付帳款</t>
        </is>
      </c>
      <c r="F6" s="46">
        <f>-(F4+F5)</f>
        <v/>
      </c>
      <c r="G6" s="47" t="n"/>
      <c r="H6" s="32" t="inlineStr">
        <is>
          <t>Cr.</t>
        </is>
      </c>
      <c r="I6" s="45" t="n">
        <v>21430000</v>
      </c>
      <c r="J6" s="46" t="inlineStr">
        <is>
          <t>應付帳款</t>
        </is>
      </c>
      <c r="K6" s="46">
        <f>-(K4+K5)</f>
        <v/>
      </c>
      <c r="L6" s="80" t="n"/>
      <c r="M6" s="81" t="inlineStr">
        <is>
          <t>Cr.</t>
        </is>
      </c>
      <c r="N6" s="45" t="n">
        <v>21430000</v>
      </c>
      <c r="O6" s="46" t="inlineStr">
        <is>
          <t>應付帳款</t>
        </is>
      </c>
      <c r="P6" s="46">
        <f>-(P4+P5)</f>
        <v/>
      </c>
      <c r="Q6" s="80" t="n"/>
      <c r="R6" s="81" t="inlineStr">
        <is>
          <t>Cr.</t>
        </is>
      </c>
      <c r="S6" s="45" t="n">
        <v>21430000</v>
      </c>
      <c r="T6" s="46" t="inlineStr">
        <is>
          <t>應付帳款</t>
        </is>
      </c>
      <c r="U6" s="46">
        <f>-(U4+U5)</f>
        <v/>
      </c>
      <c r="V6" s="80" t="n"/>
    </row>
    <row r="7" ht="16.2" customHeight="1" s="186" thickBot="1">
      <c r="A7" s="52" t="n"/>
      <c r="B7" s="34" t="n"/>
      <c r="C7" s="52" t="n"/>
      <c r="D7" s="35" t="n"/>
      <c r="E7" s="34" t="n"/>
      <c r="F7" s="34" t="n"/>
      <c r="G7" s="53" t="n"/>
      <c r="H7" s="33" t="n"/>
      <c r="I7" s="35" t="n"/>
      <c r="J7" s="34" t="n"/>
      <c r="K7" s="34" t="n"/>
      <c r="L7" s="87" t="n"/>
      <c r="M7" s="52" t="n"/>
      <c r="N7" s="35" t="n"/>
      <c r="O7" s="34" t="n"/>
      <c r="P7" s="34" t="n"/>
      <c r="Q7" s="87" t="n"/>
      <c r="R7" s="52" t="n"/>
      <c r="S7" s="35" t="n"/>
      <c r="T7" s="34" t="n"/>
      <c r="U7" s="34" t="n"/>
      <c r="V7" s="87" t="n"/>
    </row>
    <row r="8">
      <c r="A8" s="81" t="n">
        <v>2</v>
      </c>
      <c r="B8" s="64" t="inlineStr">
        <is>
          <t>費用轉列成本</t>
        </is>
      </c>
      <c r="C8" s="81" t="inlineStr">
        <is>
          <t>Dr.</t>
        </is>
      </c>
      <c r="D8" s="45" t="inlineStr">
        <is>
          <t>63xxxxxx</t>
        </is>
      </c>
      <c r="E8" s="46" t="inlineStr">
        <is>
          <t>工程費用</t>
        </is>
      </c>
      <c r="F8" s="46">
        <f>-F9</f>
        <v/>
      </c>
      <c r="G8" s="47" t="n"/>
      <c r="H8" s="32" t="inlineStr">
        <is>
          <t>Dr.</t>
        </is>
      </c>
      <c r="I8" s="45" t="inlineStr">
        <is>
          <t>63xxxxxx</t>
        </is>
      </c>
      <c r="J8" s="46" t="inlineStr">
        <is>
          <t>工程費用</t>
        </is>
      </c>
      <c r="K8" s="46">
        <f>-K9</f>
        <v/>
      </c>
      <c r="L8" s="80" t="n"/>
      <c r="M8" s="81" t="inlineStr">
        <is>
          <t>Dr.</t>
        </is>
      </c>
      <c r="N8" s="45" t="inlineStr">
        <is>
          <t>55/56xxxxxx</t>
        </is>
      </c>
      <c r="O8" s="46" t="inlineStr">
        <is>
          <t>專案成本</t>
        </is>
      </c>
      <c r="P8" s="46">
        <f>-SUM(P9:P10)</f>
        <v/>
      </c>
      <c r="Q8" s="80" t="inlineStr">
        <is>
          <t>(原作法:成本由管理費用分攤而來)</t>
        </is>
      </c>
      <c r="R8" s="141" t="inlineStr">
        <is>
          <t>Dr.</t>
        </is>
      </c>
      <c r="S8" s="143" t="inlineStr">
        <is>
          <t>55/56xxxxxx</t>
        </is>
      </c>
      <c r="T8" s="142" t="inlineStr">
        <is>
          <t>專案成本</t>
        </is>
      </c>
      <c r="U8" s="142">
        <f>-SUM(U9:U10)</f>
        <v/>
      </c>
      <c r="V8" s="144" t="inlineStr">
        <is>
          <t>(原作法:成本由管理費用分攤而來)</t>
        </is>
      </c>
    </row>
    <row r="9">
      <c r="A9" s="81" t="n"/>
      <c r="B9" s="46" t="n"/>
      <c r="C9" s="81" t="inlineStr">
        <is>
          <t>Cr.</t>
        </is>
      </c>
      <c r="D9" s="45" t="inlineStr">
        <is>
          <t>62xxxxxx</t>
        </is>
      </c>
      <c r="E9" s="46" t="inlineStr">
        <is>
          <t>辦公室費用</t>
        </is>
      </c>
      <c r="F9" s="46">
        <f>-F4</f>
        <v/>
      </c>
      <c r="G9" s="47" t="n"/>
      <c r="H9" s="32" t="inlineStr">
        <is>
          <t>Cr.</t>
        </is>
      </c>
      <c r="I9" s="45" t="inlineStr">
        <is>
          <t>62xxxxxx</t>
        </is>
      </c>
      <c r="J9" s="46" t="inlineStr">
        <is>
          <t>辦公室費用</t>
        </is>
      </c>
      <c r="K9" s="46">
        <f>-K4</f>
        <v/>
      </c>
      <c r="L9" s="80" t="n"/>
      <c r="M9" s="81" t="inlineStr">
        <is>
          <t>Cr.</t>
        </is>
      </c>
      <c r="N9" s="45" t="n">
        <v>62109999</v>
      </c>
      <c r="O9" s="46" t="inlineStr">
        <is>
          <t>人事分攤</t>
        </is>
      </c>
      <c r="P9" s="46" t="n">
        <v>-80</v>
      </c>
      <c r="Q9" s="80" t="n"/>
      <c r="R9" s="81" t="inlineStr">
        <is>
          <t>Cr.</t>
        </is>
      </c>
      <c r="S9" s="45" t="n">
        <v>62109999</v>
      </c>
      <c r="T9" s="46" t="inlineStr">
        <is>
          <t>人事費用-分攤</t>
        </is>
      </c>
      <c r="U9" s="46" t="n">
        <v>-80</v>
      </c>
      <c r="V9" s="80" t="n"/>
    </row>
    <row r="10">
      <c r="A10" s="81" t="n"/>
      <c r="B10" s="79" t="n"/>
      <c r="C10" s="81" t="n"/>
      <c r="D10" s="45" t="n"/>
      <c r="E10" s="46" t="n"/>
      <c r="F10" s="46" t="n"/>
      <c r="G10" s="47" t="n"/>
      <c r="H10" s="32" t="n"/>
      <c r="I10" s="45" t="n"/>
      <c r="J10" s="46" t="n"/>
      <c r="K10" s="46" t="n"/>
      <c r="L10" s="80" t="n"/>
      <c r="M10" s="81" t="inlineStr">
        <is>
          <t>Cr.</t>
        </is>
      </c>
      <c r="N10" s="45" t="n">
        <v>62350099</v>
      </c>
      <c r="O10" s="46" t="inlineStr">
        <is>
          <t>電腦out charge</t>
        </is>
      </c>
      <c r="P10" s="46" t="n">
        <v>-20</v>
      </c>
      <c r="Q10" s="80" t="n"/>
      <c r="R10" s="81" t="inlineStr">
        <is>
          <t>Cr.</t>
        </is>
      </c>
      <c r="S10" s="76" t="n">
        <v>62350099</v>
      </c>
      <c r="T10" s="76" t="inlineStr">
        <is>
          <t>電腦費用-Out Charge</t>
        </is>
      </c>
      <c r="U10" s="46" t="n">
        <v>-20</v>
      </c>
      <c r="V10" s="80" t="n"/>
    </row>
    <row r="11">
      <c r="A11" s="81" t="n"/>
      <c r="B11" s="79" t="n"/>
      <c r="C11" s="81" t="n"/>
      <c r="D11" s="45" t="n"/>
      <c r="E11" s="46" t="n"/>
      <c r="F11" s="46" t="n"/>
      <c r="G11" s="47" t="n"/>
      <c r="H11" s="32" t="n"/>
      <c r="I11" s="45" t="n"/>
      <c r="J11" s="46" t="n"/>
      <c r="K11" s="46" t="n"/>
      <c r="L11" s="80" t="n"/>
      <c r="M11" s="81" t="n"/>
      <c r="N11" s="45" t="n"/>
      <c r="O11" s="46" t="n"/>
      <c r="P11" s="46" t="n"/>
      <c r="Q11" s="80" t="n"/>
      <c r="R11" s="81" t="n"/>
      <c r="S11" s="45" t="n"/>
      <c r="T11" s="46" t="n"/>
      <c r="U11" s="46" t="n"/>
      <c r="V11" s="80" t="n"/>
    </row>
    <row r="12">
      <c r="A12" s="81" t="n"/>
      <c r="B12" s="67" t="inlineStr">
        <is>
          <t>ELIA內部沖銷</t>
        </is>
      </c>
      <c r="C12" s="166" t="n"/>
      <c r="D12" s="171" t="n"/>
      <c r="E12" s="171" t="n"/>
      <c r="F12" s="171" t="n"/>
      <c r="G12" s="172" t="n"/>
      <c r="H12" s="171" t="n"/>
      <c r="I12" s="171" t="n"/>
      <c r="J12" s="171" t="n"/>
      <c r="K12" s="171" t="n"/>
      <c r="L12" s="172" t="n"/>
      <c r="M12" s="166" t="n"/>
      <c r="N12" s="171" t="n"/>
      <c r="O12" s="171" t="n"/>
      <c r="P12" s="171" t="n"/>
      <c r="Q12" s="172" t="n"/>
      <c r="R12" s="81" t="inlineStr">
        <is>
          <t>Dr.</t>
        </is>
      </c>
      <c r="S12" s="45" t="n">
        <v>62109999</v>
      </c>
      <c r="T12" s="46" t="inlineStr">
        <is>
          <t>人事費用-分攤</t>
        </is>
      </c>
      <c r="U12" s="46">
        <f>-U9</f>
        <v/>
      </c>
      <c r="V12" s="80" t="inlineStr">
        <is>
          <t>備標沖銷</t>
        </is>
      </c>
    </row>
    <row r="13">
      <c r="A13" s="81" t="n"/>
      <c r="B13" s="46" t="n"/>
      <c r="C13" s="166" t="n"/>
      <c r="D13" s="171" t="n"/>
      <c r="E13" s="171" t="n"/>
      <c r="F13" s="171" t="n"/>
      <c r="G13" s="172" t="n"/>
      <c r="H13" s="171" t="n"/>
      <c r="I13" s="171" t="n"/>
      <c r="J13" s="171" t="n"/>
      <c r="K13" s="171" t="n"/>
      <c r="L13" s="172" t="n"/>
      <c r="M13" s="166" t="n"/>
      <c r="N13" s="171" t="n"/>
      <c r="O13" s="171" t="n"/>
      <c r="P13" s="171" t="n"/>
      <c r="Q13" s="172" t="n"/>
      <c r="R13" s="81" t="inlineStr">
        <is>
          <t>Cr.</t>
        </is>
      </c>
      <c r="S13" s="45" t="inlineStr">
        <is>
          <t>55/56xxxxxx</t>
        </is>
      </c>
      <c r="T13" s="46" t="inlineStr">
        <is>
          <t>專案成本</t>
        </is>
      </c>
      <c r="U13" s="79">
        <f>-U12</f>
        <v/>
      </c>
      <c r="V13" s="80" t="inlineStr">
        <is>
          <t>55110099承攬工程成本-人事費</t>
        </is>
      </c>
    </row>
    <row r="14">
      <c r="A14" s="81" t="n"/>
      <c r="B14" s="46" t="n"/>
      <c r="C14" s="169" t="n"/>
      <c r="D14" s="170" t="n"/>
      <c r="E14" s="171" t="n"/>
      <c r="F14" s="171" t="n"/>
      <c r="G14" s="172" t="n"/>
      <c r="H14" s="173" t="n"/>
      <c r="I14" s="170" t="n"/>
      <c r="J14" s="171" t="n"/>
      <c r="K14" s="171" t="n"/>
      <c r="L14" s="174" t="n"/>
      <c r="M14" s="169" t="n"/>
      <c r="N14" s="170" t="n"/>
      <c r="O14" s="171" t="n"/>
      <c r="P14" s="171" t="n"/>
      <c r="Q14" s="174" t="n"/>
      <c r="R14" s="81" t="inlineStr">
        <is>
          <t>Dr.</t>
        </is>
      </c>
      <c r="S14" s="76" t="n">
        <v>62350099</v>
      </c>
      <c r="T14" s="76" t="inlineStr">
        <is>
          <t>電腦費用-Out Charge</t>
        </is>
      </c>
      <c r="U14" s="46">
        <f>-U10</f>
        <v/>
      </c>
      <c r="V14" s="80" t="inlineStr">
        <is>
          <t>備標沖銷</t>
        </is>
      </c>
    </row>
    <row r="15" ht="16.2" customHeight="1" s="186" thickBot="1">
      <c r="A15" s="52" t="n"/>
      <c r="B15" s="34" t="n"/>
      <c r="C15" s="175" t="n"/>
      <c r="D15" s="176" t="n"/>
      <c r="E15" s="177" t="n"/>
      <c r="F15" s="177" t="n"/>
      <c r="G15" s="178" t="n"/>
      <c r="H15" s="179" t="n"/>
      <c r="I15" s="176" t="n"/>
      <c r="J15" s="177" t="n"/>
      <c r="K15" s="177" t="n"/>
      <c r="L15" s="180" t="n"/>
      <c r="M15" s="175" t="n"/>
      <c r="N15" s="176" t="n"/>
      <c r="O15" s="177" t="n"/>
      <c r="P15" s="177" t="n"/>
      <c r="Q15" s="180" t="n"/>
      <c r="R15" s="52" t="inlineStr">
        <is>
          <t>Cr.</t>
        </is>
      </c>
      <c r="S15" s="35" t="inlineStr">
        <is>
          <t>55/56xxxxxx</t>
        </is>
      </c>
      <c r="T15" s="34" t="inlineStr">
        <is>
          <t>專案成本</t>
        </is>
      </c>
      <c r="U15" s="37">
        <f>-U14</f>
        <v/>
      </c>
      <c r="V15" s="87" t="inlineStr">
        <is>
          <t>55110098承攬工程成本-非人事</t>
        </is>
      </c>
    </row>
    <row r="16">
      <c r="A16" s="81" t="n">
        <v>3</v>
      </c>
      <c r="B16" s="64" t="inlineStr">
        <is>
          <t>月底結轉在建</t>
        </is>
      </c>
      <c r="C16" s="81" t="inlineStr">
        <is>
          <t>Dr.</t>
        </is>
      </c>
      <c r="D16" s="45" t="n">
        <v>12400000</v>
      </c>
      <c r="E16" s="46" t="inlineStr">
        <is>
          <t>在建工程</t>
        </is>
      </c>
      <c r="F16" s="46">
        <f>-F17</f>
        <v/>
      </c>
      <c r="G16" s="47" t="n"/>
      <c r="H16" s="32" t="inlineStr">
        <is>
          <t>Dr.</t>
        </is>
      </c>
      <c r="I16" s="45" t="n">
        <v>12400000</v>
      </c>
      <c r="J16" s="46" t="inlineStr">
        <is>
          <t>在建工程</t>
        </is>
      </c>
      <c r="K16" s="46">
        <f>-K17</f>
        <v/>
      </c>
      <c r="L16" s="80" t="n"/>
      <c r="M16" s="129" t="n"/>
      <c r="N16" s="130" t="n"/>
      <c r="O16" s="130" t="n"/>
      <c r="P16" s="130" t="n"/>
      <c r="Q16" s="131" t="n"/>
      <c r="R16" s="129" t="n"/>
      <c r="S16" s="130" t="n"/>
      <c r="T16" s="130" t="n"/>
      <c r="U16" s="130" t="n"/>
      <c r="V16" s="131" t="n"/>
    </row>
    <row r="17">
      <c r="A17" s="81" t="n"/>
      <c r="B17" s="46" t="inlineStr">
        <is>
          <t>(CJ88)</t>
        </is>
      </c>
      <c r="C17" s="81" t="inlineStr">
        <is>
          <t>Cr.</t>
        </is>
      </c>
      <c r="D17" s="45" t="n">
        <v>63810030</v>
      </c>
      <c r="E17" s="46" t="inlineStr">
        <is>
          <t>工程費用轉在建工程</t>
        </is>
      </c>
      <c r="F17" s="46">
        <f>-F8</f>
        <v/>
      </c>
      <c r="G17" s="47" t="n"/>
      <c r="H17" s="32" t="inlineStr">
        <is>
          <t>Cr.</t>
        </is>
      </c>
      <c r="I17" s="45" t="n">
        <v>63810030</v>
      </c>
      <c r="J17" s="46" t="inlineStr">
        <is>
          <t>工程費用轉在建工程</t>
        </is>
      </c>
      <c r="K17" s="46">
        <f>-K8</f>
        <v/>
      </c>
      <c r="L17" s="80" t="n"/>
      <c r="M17" s="129" t="n"/>
      <c r="N17" s="130" t="n"/>
      <c r="O17" s="130" t="n"/>
      <c r="P17" s="130" t="n"/>
      <c r="Q17" s="131" t="n"/>
      <c r="R17" s="129" t="n"/>
      <c r="S17" s="130" t="n"/>
      <c r="T17" s="130" t="n"/>
      <c r="U17" s="130" t="n"/>
      <c r="V17" s="131" t="n"/>
    </row>
    <row r="18">
      <c r="A18" s="81" t="n"/>
      <c r="B18" s="46" t="n"/>
      <c r="C18" s="81" t="n"/>
      <c r="D18" s="45" t="n"/>
      <c r="E18" s="46" t="n"/>
      <c r="F18" s="46" t="n"/>
      <c r="G18" s="47" t="n"/>
      <c r="H18" s="32" t="n"/>
      <c r="I18" s="45" t="n"/>
      <c r="J18" s="46" t="n"/>
      <c r="K18" s="46" t="n"/>
      <c r="L18" s="80" t="n"/>
      <c r="M18" s="81" t="n"/>
      <c r="N18" s="45" t="n"/>
      <c r="O18" s="46" t="n"/>
      <c r="P18" s="46" t="n"/>
      <c r="Q18" s="80" t="n"/>
      <c r="R18" s="77" t="n"/>
      <c r="S18" s="46" t="n"/>
      <c r="T18" s="32" t="n"/>
      <c r="U18" s="79" t="n"/>
      <c r="V18" s="80" t="n"/>
    </row>
    <row r="19" ht="16.2" customHeight="1" s="186" thickBot="1">
      <c r="A19" s="52" t="n"/>
      <c r="B19" s="34" t="n"/>
      <c r="C19" s="52" t="n"/>
      <c r="D19" s="35" t="n"/>
      <c r="E19" s="34" t="n"/>
      <c r="F19" s="34" t="n"/>
      <c r="G19" s="53" t="n"/>
      <c r="H19" s="33" t="n"/>
      <c r="I19" s="35" t="n"/>
      <c r="J19" s="34" t="n"/>
      <c r="K19" s="34" t="n"/>
      <c r="L19" s="87" t="n"/>
      <c r="M19" s="52" t="n"/>
      <c r="N19" s="35" t="n"/>
      <c r="O19" s="34" t="n"/>
      <c r="P19" s="34" t="n"/>
      <c r="Q19" s="87" t="n"/>
      <c r="R19" s="86" t="n"/>
      <c r="S19" s="37" t="n"/>
      <c r="T19" s="37" t="n"/>
      <c r="U19" s="37" t="n"/>
      <c r="V19" s="87" t="n"/>
    </row>
    <row r="20">
      <c r="A20" s="81" t="n">
        <v>4</v>
      </c>
      <c r="B20" s="64" t="inlineStr">
        <is>
          <t>完工百分比</t>
        </is>
      </c>
      <c r="C20" s="81" t="inlineStr">
        <is>
          <t>Dr.</t>
        </is>
      </c>
      <c r="D20" s="45" t="n">
        <v>55110000</v>
      </c>
      <c r="E20" s="46" t="inlineStr">
        <is>
          <t>承攬工程成本</t>
        </is>
      </c>
      <c r="F20" s="46">
        <f>F8</f>
        <v/>
      </c>
      <c r="G20" s="47" t="n"/>
      <c r="H20" s="32" t="inlineStr">
        <is>
          <t>Dr.</t>
        </is>
      </c>
      <c r="I20" s="45" t="n">
        <v>55110000</v>
      </c>
      <c r="J20" s="46" t="inlineStr">
        <is>
          <t>承攬工程成本</t>
        </is>
      </c>
      <c r="K20" s="46">
        <f>K8</f>
        <v/>
      </c>
      <c r="L20" s="80" t="n"/>
      <c r="M20" s="129" t="n"/>
      <c r="N20" s="130" t="n"/>
      <c r="O20" s="130" t="n"/>
      <c r="P20" s="130" t="n"/>
      <c r="Q20" s="131" t="n"/>
      <c r="R20" s="129" t="n"/>
      <c r="S20" s="130" t="n"/>
      <c r="T20" s="130" t="n"/>
      <c r="U20" s="130" t="n"/>
      <c r="V20" s="131" t="n"/>
    </row>
    <row r="21">
      <c r="A21" s="81" t="n"/>
      <c r="B21" s="46" t="inlineStr">
        <is>
          <t>損益認列</t>
        </is>
      </c>
      <c r="C21" s="81" t="inlineStr">
        <is>
          <t>Dr.</t>
        </is>
      </c>
      <c r="D21" s="45" t="n">
        <v>12470000</v>
      </c>
      <c r="E21" s="46" t="inlineStr">
        <is>
          <t>在建損益-承攬案</t>
        </is>
      </c>
      <c r="F21" s="195">
        <f>-F22-F20</f>
        <v/>
      </c>
      <c r="G21" s="47" t="n"/>
      <c r="H21" s="32" t="inlineStr">
        <is>
          <t>Dr.</t>
        </is>
      </c>
      <c r="I21" s="45" t="n">
        <v>12470000</v>
      </c>
      <c r="J21" s="46" t="inlineStr">
        <is>
          <t>在建損益-承攬案</t>
        </is>
      </c>
      <c r="K21" s="195">
        <f>-K22-K20</f>
        <v/>
      </c>
      <c r="L21" s="80" t="n"/>
      <c r="M21" s="129" t="n"/>
      <c r="N21" s="130" t="n"/>
      <c r="O21" s="130" t="n"/>
      <c r="P21" s="130" t="n"/>
      <c r="Q21" s="131" t="n"/>
      <c r="R21" s="129" t="n"/>
      <c r="S21" s="130" t="n"/>
      <c r="T21" s="130" t="n"/>
      <c r="U21" s="130" t="n"/>
      <c r="V21" s="131" t="n"/>
    </row>
    <row r="22">
      <c r="A22" s="81" t="n"/>
      <c r="B22" s="46" t="n"/>
      <c r="C22" s="81" t="inlineStr">
        <is>
          <t>Cr.</t>
        </is>
      </c>
      <c r="D22" s="45" t="n">
        <v>45110000</v>
      </c>
      <c r="E22" s="46" t="inlineStr">
        <is>
          <t>承攬工程收入</t>
        </is>
      </c>
      <c r="F22" s="54">
        <f>-F20/(1-$E$77)</f>
        <v/>
      </c>
      <c r="G22" s="47" t="n"/>
      <c r="H22" s="32" t="inlineStr">
        <is>
          <t>Cr.</t>
        </is>
      </c>
      <c r="I22" s="45" t="n">
        <v>45110000</v>
      </c>
      <c r="J22" s="46" t="inlineStr">
        <is>
          <t>承攬工程收入</t>
        </is>
      </c>
      <c r="K22" s="54">
        <f>-K20/(1-$E$77)</f>
        <v/>
      </c>
      <c r="L22" s="80" t="n"/>
      <c r="M22" s="129" t="n"/>
      <c r="N22" s="130" t="n"/>
      <c r="O22" s="130" t="n"/>
      <c r="P22" s="130" t="n"/>
      <c r="Q22" s="131" t="n"/>
      <c r="R22" s="129" t="n"/>
      <c r="S22" s="130" t="n"/>
      <c r="T22" s="130" t="n"/>
      <c r="U22" s="130" t="n"/>
      <c r="V22" s="131" t="n"/>
    </row>
    <row r="23">
      <c r="A23" s="81" t="n"/>
      <c r="B23" s="46" t="n"/>
      <c r="C23" s="81" t="n"/>
      <c r="D23" s="45" t="n"/>
      <c r="E23" s="46" t="n"/>
      <c r="F23" s="46" t="n"/>
      <c r="G23" s="47" t="n"/>
      <c r="H23" s="46" t="n"/>
      <c r="I23" s="46" t="n"/>
      <c r="J23" s="32" t="n"/>
      <c r="K23" s="46" t="n"/>
      <c r="L23" s="80" t="n"/>
      <c r="M23" s="78" t="n"/>
      <c r="N23" s="79" t="n"/>
      <c r="O23" s="79" t="n"/>
      <c r="P23" s="79" t="n"/>
      <c r="Q23" s="80" t="n"/>
      <c r="R23" s="78" t="n"/>
      <c r="S23" s="79" t="n"/>
      <c r="T23" s="79" t="n"/>
      <c r="U23" s="79" t="n"/>
      <c r="V23" s="80" t="n"/>
    </row>
    <row r="24">
      <c r="A24" s="81" t="n"/>
      <c r="B24" s="67" t="inlineStr">
        <is>
          <t>ELIA內部沖銷</t>
        </is>
      </c>
      <c r="C24" s="81" t="inlineStr">
        <is>
          <t>Dr.</t>
        </is>
      </c>
      <c r="D24" s="45" t="n">
        <v>45110000</v>
      </c>
      <c r="E24" s="46" t="inlineStr">
        <is>
          <t>承攬工程收入</t>
        </is>
      </c>
      <c r="F24" s="54">
        <f>-F22</f>
        <v/>
      </c>
      <c r="G24" s="47" t="n"/>
      <c r="H24" s="130" t="n"/>
      <c r="I24" s="130" t="n"/>
      <c r="J24" s="130" t="n"/>
      <c r="K24" s="130" t="n"/>
      <c r="L24" s="131" t="n"/>
      <c r="M24" s="129" t="n"/>
      <c r="N24" s="130" t="n"/>
      <c r="O24" s="130" t="n"/>
      <c r="P24" s="130" t="n"/>
      <c r="Q24" s="131" t="n"/>
      <c r="R24" s="129" t="n"/>
      <c r="S24" s="130" t="n"/>
      <c r="T24" s="130" t="n"/>
      <c r="U24" s="130" t="n"/>
      <c r="V24" s="131" t="n"/>
    </row>
    <row r="25">
      <c r="A25" s="81" t="n"/>
      <c r="B25" s="46" t="inlineStr">
        <is>
          <t>TBU無分錄</t>
        </is>
      </c>
      <c r="C25" s="81" t="inlineStr">
        <is>
          <t>Cr.</t>
        </is>
      </c>
      <c r="D25" s="55" t="n">
        <v>12470000</v>
      </c>
      <c r="E25" s="56" t="inlineStr">
        <is>
          <t>在建損益-承攬案</t>
        </is>
      </c>
      <c r="F25" s="56">
        <f>-F21</f>
        <v/>
      </c>
      <c r="G25" s="47" t="n"/>
      <c r="H25" s="130" t="n"/>
      <c r="I25" s="130" t="n"/>
      <c r="J25" s="130" t="n"/>
      <c r="K25" s="130" t="n"/>
      <c r="L25" s="131" t="n"/>
      <c r="M25" s="129" t="n"/>
      <c r="N25" s="130" t="n"/>
      <c r="O25" s="130" t="n"/>
      <c r="P25" s="130" t="n"/>
      <c r="Q25" s="131" t="n"/>
      <c r="R25" s="129" t="n"/>
      <c r="S25" s="130" t="n"/>
      <c r="T25" s="130" t="n"/>
      <c r="U25" s="130" t="n"/>
      <c r="V25" s="131" t="n"/>
    </row>
    <row r="26">
      <c r="A26" s="81" t="n"/>
      <c r="B26" s="46" t="inlineStr">
        <is>
          <t>屬單邊沖銷</t>
        </is>
      </c>
      <c r="C26" s="81" t="inlineStr">
        <is>
          <t>Cr.</t>
        </is>
      </c>
      <c r="D26" s="45" t="n">
        <v>55110000</v>
      </c>
      <c r="E26" s="46" t="inlineStr">
        <is>
          <t>承攬工程成本</t>
        </is>
      </c>
      <c r="F26" s="46">
        <f>-F20</f>
        <v/>
      </c>
      <c r="G26" s="47" t="n"/>
      <c r="H26" s="130" t="n"/>
      <c r="I26" s="130" t="n"/>
      <c r="J26" s="130" t="n"/>
      <c r="K26" s="130" t="n"/>
      <c r="L26" s="131" t="n"/>
      <c r="M26" s="129" t="n"/>
      <c r="N26" s="130" t="n"/>
      <c r="O26" s="130" t="n"/>
      <c r="P26" s="130" t="n"/>
      <c r="Q26" s="131" t="n"/>
      <c r="R26" s="129" t="n"/>
      <c r="S26" s="130" t="n"/>
      <c r="T26" s="130" t="n"/>
      <c r="U26" s="130" t="n"/>
      <c r="V26" s="131" t="n"/>
    </row>
    <row r="27">
      <c r="A27" s="81" t="n"/>
      <c r="B27" s="46" t="n"/>
      <c r="C27" s="81" t="n"/>
      <c r="D27" s="45" t="n"/>
      <c r="E27" s="46" t="n"/>
      <c r="F27" s="46" t="n"/>
      <c r="G27" s="47" t="n"/>
      <c r="H27" s="46" t="n"/>
      <c r="I27" s="46" t="n"/>
      <c r="J27" s="32" t="n"/>
      <c r="K27" s="46" t="n"/>
      <c r="L27" s="80" t="n"/>
      <c r="M27" s="78" t="n"/>
      <c r="N27" s="79" t="n"/>
      <c r="O27" s="79" t="n"/>
      <c r="P27" s="79" t="n"/>
      <c r="Q27" s="80" t="n"/>
      <c r="R27" s="78" t="n"/>
      <c r="S27" s="79" t="n"/>
      <c r="T27" s="79" t="n"/>
      <c r="U27" s="79" t="n"/>
      <c r="V27" s="80" t="n"/>
    </row>
    <row r="28">
      <c r="A28" s="81" t="n"/>
      <c r="B28" s="46" t="n"/>
      <c r="C28" s="57" t="inlineStr">
        <is>
          <t>此資產對全公司來說是「跟自己賺的錢」,不存在</t>
        </is>
      </c>
      <c r="D28" s="55" t="n"/>
      <c r="E28" s="56" t="n"/>
      <c r="F28" s="56" t="n"/>
      <c r="G28" s="47" t="n"/>
      <c r="H28" s="46" t="n"/>
      <c r="I28" s="46" t="n"/>
      <c r="J28" s="32" t="n"/>
      <c r="K28" s="46" t="n"/>
      <c r="L28" s="80" t="n"/>
      <c r="M28" s="78" t="n"/>
      <c r="N28" s="79" t="n"/>
      <c r="O28" s="79" t="n"/>
      <c r="P28" s="79" t="n"/>
      <c r="Q28" s="80" t="n"/>
      <c r="R28" s="78" t="n"/>
      <c r="S28" s="79" t="n"/>
      <c r="T28" s="79" t="n"/>
      <c r="U28" s="79" t="n"/>
      <c r="V28" s="80" t="n"/>
    </row>
    <row r="29">
      <c r="A29" s="81" t="n"/>
      <c r="B29" s="46" t="n"/>
      <c r="C29" s="81" t="n"/>
      <c r="D29" s="45" t="n"/>
      <c r="E29" s="45" t="n"/>
      <c r="F29" s="46" t="n"/>
      <c r="G29" s="47" t="n"/>
      <c r="H29" s="46" t="n"/>
      <c r="I29" s="46" t="n"/>
      <c r="J29" s="32" t="n"/>
      <c r="K29" s="46" t="n"/>
      <c r="L29" s="80" t="n"/>
      <c r="M29" s="78" t="n"/>
      <c r="N29" s="79" t="n"/>
      <c r="O29" s="79" t="n"/>
      <c r="P29" s="79" t="n"/>
      <c r="Q29" s="80" t="n"/>
      <c r="R29" s="78" t="n"/>
      <c r="S29" s="79" t="n"/>
      <c r="T29" s="79" t="n"/>
      <c r="U29" s="79" t="n"/>
      <c r="V29" s="80" t="n"/>
    </row>
    <row r="30" ht="16.2" customHeight="1" s="186" thickBot="1">
      <c r="A30" s="52" t="n"/>
      <c r="B30" s="34" t="n"/>
      <c r="C30" s="52" t="n"/>
      <c r="D30" s="35" t="n"/>
      <c r="E30" s="35" t="n"/>
      <c r="F30" s="34" t="n"/>
      <c r="G30" s="53" t="n"/>
      <c r="H30" s="34" t="n"/>
      <c r="I30" s="34" t="n"/>
      <c r="J30" s="33" t="n"/>
      <c r="K30" s="34" t="n"/>
      <c r="L30" s="87" t="n"/>
      <c r="M30" s="86" t="n"/>
      <c r="N30" s="37" t="n"/>
      <c r="O30" s="37" t="n"/>
      <c r="P30" s="37" t="n"/>
      <c r="Q30" s="87" t="n"/>
      <c r="R30" s="78" t="n"/>
      <c r="S30" s="79" t="n"/>
      <c r="T30" s="79" t="n"/>
      <c r="U30" s="79" t="n"/>
      <c r="V30" s="80" t="n"/>
    </row>
    <row r="31">
      <c r="A31" s="81" t="n">
        <v>5</v>
      </c>
      <c r="B31" s="64" t="inlineStr">
        <is>
          <t>開立業主發票</t>
        </is>
      </c>
      <c r="C31" s="81" t="inlineStr">
        <is>
          <t>Dr.</t>
        </is>
      </c>
      <c r="D31" s="165" t="n">
        <v>11430000</v>
      </c>
      <c r="E31" s="45" t="inlineStr">
        <is>
          <t>公司內部往來-TO &amp; BIM</t>
        </is>
      </c>
      <c r="F31" s="79">
        <f>$E$80</f>
        <v/>
      </c>
      <c r="G31" s="80" t="inlineStr">
        <is>
          <t>(B/S往來視為AR應收帳款)</t>
        </is>
      </c>
      <c r="H31" s="32" t="inlineStr">
        <is>
          <t>Dr.</t>
        </is>
      </c>
      <c r="I31" s="45" t="n">
        <v>11430000</v>
      </c>
      <c r="J31" s="45" t="inlineStr">
        <is>
          <t>應收帳款</t>
        </is>
      </c>
      <c r="K31" s="46">
        <f>-SUM(K32:K33)</f>
        <v/>
      </c>
      <c r="L31" s="80" t="inlineStr">
        <is>
          <t>(真實應收)</t>
        </is>
      </c>
      <c r="M31" s="81" t="inlineStr">
        <is>
          <t>Dr.</t>
        </is>
      </c>
      <c r="N31" s="165" t="n">
        <v>11430000</v>
      </c>
      <c r="O31" s="45" t="inlineStr">
        <is>
          <t>公司內部往來-TO &amp; BIM</t>
        </is>
      </c>
      <c r="P31" s="79">
        <f>$E$80</f>
        <v/>
      </c>
      <c r="Q31" s="80" t="inlineStr">
        <is>
          <t>(B/S往來視為AR應收帳款)</t>
        </is>
      </c>
      <c r="R31" s="141" t="inlineStr">
        <is>
          <t>Dr.</t>
        </is>
      </c>
      <c r="S31" s="165" t="n">
        <v>11430000</v>
      </c>
      <c r="T31" s="143" t="inlineStr">
        <is>
          <t>公司內部往來-TO &amp; BIM</t>
        </is>
      </c>
      <c r="U31" s="61">
        <f>$E$80</f>
        <v/>
      </c>
      <c r="V31" s="144" t="inlineStr">
        <is>
          <t>(B/S往來視為AR應收帳款)</t>
        </is>
      </c>
    </row>
    <row r="32">
      <c r="A32" s="81" t="n"/>
      <c r="B32" s="46" t="inlineStr">
        <is>
          <t>BIM認列收入</t>
        </is>
      </c>
      <c r="C32" s="81" t="inlineStr">
        <is>
          <t>Cr.</t>
        </is>
      </c>
      <c r="D32" s="45" t="n">
        <v>22640000</v>
      </c>
      <c r="E32" s="45" t="inlineStr">
        <is>
          <t>預收工程款</t>
        </is>
      </c>
      <c r="F32" s="79">
        <f>-F31</f>
        <v/>
      </c>
      <c r="G32" s="80" t="n"/>
      <c r="H32" s="32" t="inlineStr">
        <is>
          <t>Cr.</t>
        </is>
      </c>
      <c r="I32" s="45" t="n">
        <v>22640000</v>
      </c>
      <c r="J32" s="45" t="inlineStr">
        <is>
          <t>預收工程款</t>
        </is>
      </c>
      <c r="K32" s="46">
        <f>-$E80</f>
        <v/>
      </c>
      <c r="L32" s="80" t="n"/>
      <c r="M32" s="81" t="inlineStr">
        <is>
          <t>Cr.</t>
        </is>
      </c>
      <c r="N32" s="45" t="inlineStr">
        <is>
          <t>46110050</t>
        </is>
      </c>
      <c r="O32" s="45" t="inlineStr">
        <is>
          <t>勞務收入-內部計價</t>
        </is>
      </c>
      <c r="P32" s="79">
        <f>-P31</f>
        <v/>
      </c>
      <c r="Q32" s="80" t="n"/>
      <c r="R32" s="81" t="inlineStr">
        <is>
          <t>Cr.</t>
        </is>
      </c>
      <c r="S32" s="45" t="inlineStr">
        <is>
          <t>46110050</t>
        </is>
      </c>
      <c r="T32" s="45" t="inlineStr">
        <is>
          <t>勞務收入-內部計價</t>
        </is>
      </c>
      <c r="U32" s="79">
        <f>-U31</f>
        <v/>
      </c>
      <c r="V32" s="80" t="n"/>
    </row>
    <row r="33">
      <c r="A33" s="81" t="n"/>
      <c r="B33" s="46" t="n"/>
      <c r="C33" s="81" t="inlineStr">
        <is>
          <t>Cr.</t>
        </is>
      </c>
      <c r="D33" s="45" t="n">
        <v>22140000</v>
      </c>
      <c r="E33" s="45" t="inlineStr">
        <is>
          <t>銷項稅額</t>
        </is>
      </c>
      <c r="F33" s="79" t="n"/>
      <c r="G33" s="80" t="n"/>
      <c r="H33" s="32" t="inlineStr">
        <is>
          <t>Cr.</t>
        </is>
      </c>
      <c r="I33" s="49" t="n">
        <v>22140000</v>
      </c>
      <c r="J33" s="49" t="inlineStr">
        <is>
          <t>銷項稅額</t>
        </is>
      </c>
      <c r="K33" s="50">
        <f>K32*0.05</f>
        <v/>
      </c>
      <c r="L33" s="80" t="n"/>
      <c r="M33" s="81" t="n"/>
      <c r="N33" s="45" t="n"/>
      <c r="O33" s="45" t="n"/>
      <c r="P33" s="79" t="n"/>
      <c r="Q33" s="80" t="n"/>
      <c r="R33" s="78" t="n"/>
      <c r="S33" s="79" t="n"/>
      <c r="T33" s="79" t="n"/>
      <c r="U33" s="79" t="n"/>
      <c r="V33" s="80" t="n"/>
    </row>
    <row r="34" ht="16.2" customHeight="1" s="186" thickBot="1">
      <c r="A34" s="81" t="n"/>
      <c r="B34" s="46" t="n"/>
      <c r="C34" s="81" t="n"/>
      <c r="D34" s="45" t="n"/>
      <c r="E34" s="45" t="n"/>
      <c r="F34" s="46" t="n"/>
      <c r="G34" s="47" t="n"/>
      <c r="H34" s="46" t="n"/>
      <c r="I34" s="46" t="n"/>
      <c r="J34" s="32" t="n"/>
      <c r="K34" s="46" t="n"/>
      <c r="L34" s="80" t="n"/>
      <c r="M34" s="78" t="n"/>
      <c r="N34" s="79" t="n"/>
      <c r="O34" s="79" t="n"/>
      <c r="P34" s="79" t="n"/>
      <c r="Q34" s="80" t="n"/>
      <c r="R34" s="78" t="n"/>
      <c r="S34" s="79" t="n"/>
      <c r="T34" s="79" t="n"/>
      <c r="U34" s="79" t="n"/>
      <c r="V34" s="80" t="n"/>
    </row>
    <row r="35">
      <c r="A35" s="145" t="n"/>
      <c r="B35" s="150" t="inlineStr">
        <is>
          <t>TBU認列成本</t>
        </is>
      </c>
      <c r="C35" s="145" t="inlineStr">
        <is>
          <t>Dr.</t>
        </is>
      </c>
      <c r="D35" s="147" t="inlineStr">
        <is>
          <t>63670100</t>
        </is>
      </c>
      <c r="E35" s="147" t="inlineStr">
        <is>
          <t>工程工務所費用-其他費用</t>
        </is>
      </c>
      <c r="F35" s="148">
        <f>$E$80</f>
        <v/>
      </c>
      <c r="G35" s="151" t="n"/>
      <c r="H35" s="150" t="n"/>
      <c r="I35" s="150" t="n"/>
      <c r="J35" s="150" t="n"/>
      <c r="K35" s="150" t="n"/>
      <c r="L35" s="151" t="n"/>
      <c r="M35" s="145" t="inlineStr">
        <is>
          <t>Dr.</t>
        </is>
      </c>
      <c r="N35" s="147" t="inlineStr">
        <is>
          <t>63670100</t>
        </is>
      </c>
      <c r="O35" s="147" t="inlineStr">
        <is>
          <t>工程工務所費用-其他費用</t>
        </is>
      </c>
      <c r="P35" s="148">
        <f>$E$80</f>
        <v/>
      </c>
      <c r="Q35" s="152" t="n"/>
      <c r="R35" s="145" t="inlineStr">
        <is>
          <t>Dr.</t>
        </is>
      </c>
      <c r="S35" s="153" t="inlineStr">
        <is>
          <t>62370030</t>
        </is>
      </c>
      <c r="T35" s="154" t="inlineStr">
        <is>
          <t>勞務費-其他</t>
        </is>
      </c>
      <c r="U35" s="148">
        <f>$E$80</f>
        <v/>
      </c>
      <c r="V35" s="152" t="n"/>
    </row>
    <row r="36" ht="16.2" customHeight="1" s="186" thickBot="1">
      <c r="A36" s="155" t="n"/>
      <c r="B36" s="160" t="n"/>
      <c r="C36" s="155" t="inlineStr">
        <is>
          <t>Cr.</t>
        </is>
      </c>
      <c r="D36" s="157" t="inlineStr">
        <is>
          <t>12872012</t>
        </is>
      </c>
      <c r="E36" s="157" t="inlineStr">
        <is>
          <t>公司內部往來-TO &amp; BIM</t>
        </is>
      </c>
      <c r="F36" s="158">
        <f>-F35</f>
        <v/>
      </c>
      <c r="G36" s="161" t="n"/>
      <c r="H36" s="160" t="n"/>
      <c r="I36" s="160" t="n"/>
      <c r="J36" s="160" t="n"/>
      <c r="K36" s="160" t="n"/>
      <c r="L36" s="161" t="n"/>
      <c r="M36" s="155" t="inlineStr">
        <is>
          <t>Cr.</t>
        </is>
      </c>
      <c r="N36" s="157" t="inlineStr">
        <is>
          <t>12872012</t>
        </is>
      </c>
      <c r="O36" s="157" t="inlineStr">
        <is>
          <t>公司內部往來-TO &amp; BIM</t>
        </is>
      </c>
      <c r="P36" s="158">
        <f>-P35</f>
        <v/>
      </c>
      <c r="Q36" s="162" t="n"/>
      <c r="R36" s="155" t="inlineStr">
        <is>
          <t>Cr.</t>
        </is>
      </c>
      <c r="S36" s="163" t="inlineStr">
        <is>
          <t>12872012</t>
        </is>
      </c>
      <c r="T36" s="164" t="inlineStr">
        <is>
          <t>公司內部往來-TO &amp; BIM</t>
        </is>
      </c>
      <c r="U36" s="158">
        <f>-U35</f>
        <v/>
      </c>
      <c r="V36" s="162" t="n"/>
    </row>
    <row r="37">
      <c r="A37" s="81" t="n"/>
      <c r="B37" s="46" t="n"/>
      <c r="C37" s="81" t="n"/>
      <c r="D37" s="45" t="n"/>
      <c r="E37" s="45" t="n"/>
      <c r="F37" s="46" t="n"/>
      <c r="G37" s="47" t="n"/>
      <c r="H37" s="46" t="n"/>
      <c r="I37" s="46" t="n"/>
      <c r="J37" s="32" t="n"/>
      <c r="K37" s="46" t="n"/>
      <c r="L37" s="80" t="n"/>
      <c r="M37" s="78" t="n"/>
      <c r="N37" s="79" t="n"/>
      <c r="O37" s="79" t="n"/>
      <c r="P37" s="79" t="n"/>
      <c r="Q37" s="80" t="n"/>
      <c r="R37" s="78" t="n"/>
      <c r="S37" s="79" t="n"/>
      <c r="T37" s="79" t="n"/>
      <c r="U37" s="79" t="n"/>
      <c r="V37" s="80" t="n"/>
    </row>
    <row r="38">
      <c r="A38" s="81" t="n"/>
      <c r="B38" s="67" t="inlineStr">
        <is>
          <t>ELIA內部沖銷</t>
        </is>
      </c>
      <c r="C38" s="81" t="inlineStr">
        <is>
          <t>Dr.</t>
        </is>
      </c>
      <c r="D38" s="45" t="n">
        <v>22640000</v>
      </c>
      <c r="E38" s="45" t="inlineStr">
        <is>
          <t>預收工程款</t>
        </is>
      </c>
      <c r="F38" s="46">
        <f>-F32</f>
        <v/>
      </c>
      <c r="G38" s="47" t="n"/>
      <c r="H38" s="130" t="n"/>
      <c r="I38" s="130" t="n"/>
      <c r="J38" s="130" t="n"/>
      <c r="K38" s="130" t="n"/>
      <c r="L38" s="131" t="n"/>
      <c r="M38" s="81" t="inlineStr">
        <is>
          <t>Dr.</t>
        </is>
      </c>
      <c r="N38" s="45" t="inlineStr">
        <is>
          <t>46110050</t>
        </is>
      </c>
      <c r="O38" s="83" t="inlineStr">
        <is>
          <t>勞務收入-內部計價</t>
        </is>
      </c>
      <c r="P38" s="46">
        <f>-P32</f>
        <v/>
      </c>
      <c r="Q38" s="80" t="n"/>
      <c r="R38" s="81" t="inlineStr">
        <is>
          <t>Dr.</t>
        </is>
      </c>
      <c r="S38" s="82" t="inlineStr">
        <is>
          <t>46110050</t>
        </is>
      </c>
      <c r="T38" s="83" t="inlineStr">
        <is>
          <t>勞務收入-內部計價</t>
        </is>
      </c>
      <c r="U38" s="46">
        <f>-U32</f>
        <v/>
      </c>
      <c r="V38" s="84" t="n"/>
    </row>
    <row r="39">
      <c r="A39" s="81" t="n"/>
      <c r="B39" s="46" t="n"/>
      <c r="C39" s="81" t="inlineStr">
        <is>
          <t>Cr.</t>
        </is>
      </c>
      <c r="D39" s="45" t="inlineStr">
        <is>
          <t>55110095</t>
        </is>
      </c>
      <c r="E39" s="45" t="inlineStr">
        <is>
          <t>承攬工程成本-其他</t>
        </is>
      </c>
      <c r="F39" s="46">
        <f>-F38</f>
        <v/>
      </c>
      <c r="G39" s="47" t="n"/>
      <c r="H39" s="130" t="n"/>
      <c r="I39" s="130" t="n"/>
      <c r="J39" s="130" t="n"/>
      <c r="K39" s="130" t="n"/>
      <c r="L39" s="131" t="n"/>
      <c r="M39" s="81" t="inlineStr">
        <is>
          <t>Cr.</t>
        </is>
      </c>
      <c r="N39" s="45" t="inlineStr">
        <is>
          <t>55110095</t>
        </is>
      </c>
      <c r="O39" s="45" t="inlineStr">
        <is>
          <t>承攬工程成本-其他</t>
        </is>
      </c>
      <c r="P39" s="46">
        <f>-P38</f>
        <v/>
      </c>
      <c r="Q39" s="80" t="n"/>
      <c r="R39" s="81" t="inlineStr">
        <is>
          <t>Cr.</t>
        </is>
      </c>
      <c r="S39" s="140" t="n">
        <v>62370099</v>
      </c>
      <c r="T39" s="83" t="inlineStr">
        <is>
          <t>勞務費-收回投標費</t>
        </is>
      </c>
      <c r="U39" s="46">
        <f>-U38</f>
        <v/>
      </c>
      <c r="V39" s="85" t="n"/>
    </row>
    <row r="40">
      <c r="A40" s="81" t="n"/>
      <c r="B40" s="46" t="n"/>
      <c r="C40" s="81" t="n"/>
      <c r="D40" s="45" t="n"/>
      <c r="E40" s="45" t="n"/>
      <c r="F40" s="46" t="n"/>
      <c r="G40" s="47" t="n"/>
      <c r="H40" s="46" t="n"/>
      <c r="I40" s="46" t="n"/>
      <c r="J40" s="32" t="n"/>
      <c r="K40" s="46" t="n"/>
      <c r="L40" s="80" t="n"/>
      <c r="M40" s="78" t="n"/>
      <c r="N40" s="79" t="n"/>
      <c r="O40" s="79" t="n"/>
      <c r="P40" s="79" t="n"/>
      <c r="Q40" s="80" t="n"/>
      <c r="R40" s="78" t="n"/>
      <c r="S40" s="79" t="n"/>
      <c r="U40" s="79" t="n"/>
      <c r="V40" s="80" t="n"/>
    </row>
    <row r="41" ht="16.2" customHeight="1" s="186" thickBot="1">
      <c r="A41" s="52" t="n"/>
      <c r="B41" s="34" t="n"/>
      <c r="C41" s="52" t="n"/>
      <c r="D41" s="35" t="n"/>
      <c r="E41" s="35" t="n"/>
      <c r="F41" s="34" t="n"/>
      <c r="G41" s="53" t="n"/>
      <c r="H41" s="34" t="n"/>
      <c r="I41" s="34" t="n"/>
      <c r="J41" s="33" t="n"/>
      <c r="K41" s="34" t="n"/>
      <c r="L41" s="87" t="n"/>
      <c r="M41" s="86" t="n"/>
      <c r="N41" s="37" t="n"/>
      <c r="O41" s="37" t="n"/>
      <c r="P41" s="37" t="n"/>
      <c r="Q41" s="87" t="n"/>
      <c r="R41" s="86" t="n"/>
      <c r="S41" s="37" t="n"/>
      <c r="T41" s="37" t="n"/>
      <c r="U41" s="37" t="n"/>
      <c r="V41" s="87" t="n"/>
    </row>
    <row r="42">
      <c r="A42" s="81" t="n">
        <v>6</v>
      </c>
      <c r="B42" s="64" t="inlineStr">
        <is>
          <t>支付AP</t>
        </is>
      </c>
      <c r="C42" s="81" t="inlineStr">
        <is>
          <t>Dr.</t>
        </is>
      </c>
      <c r="D42" s="45" t="n">
        <v>21430000</v>
      </c>
      <c r="E42" s="45" t="inlineStr">
        <is>
          <t>應付帳款</t>
        </is>
      </c>
      <c r="F42" s="46">
        <f>-F6</f>
        <v/>
      </c>
      <c r="G42" s="47" t="n"/>
      <c r="H42" s="32" t="inlineStr">
        <is>
          <t>Dr.</t>
        </is>
      </c>
      <c r="I42" s="45" t="n">
        <v>21430000</v>
      </c>
      <c r="J42" s="45" t="inlineStr">
        <is>
          <t>應付帳款</t>
        </is>
      </c>
      <c r="K42" s="46">
        <f>-K6</f>
        <v/>
      </c>
      <c r="L42" s="80" t="n"/>
      <c r="M42" s="81" t="inlineStr">
        <is>
          <t>Dr.</t>
        </is>
      </c>
      <c r="N42" s="45" t="n">
        <v>21430000</v>
      </c>
      <c r="O42" s="45" t="inlineStr">
        <is>
          <t>應付帳款</t>
        </is>
      </c>
      <c r="P42" s="46">
        <f>-P6</f>
        <v/>
      </c>
      <c r="Q42" s="80" t="n"/>
      <c r="R42" s="81" t="inlineStr">
        <is>
          <t>Dr.</t>
        </is>
      </c>
      <c r="S42" s="45" t="n">
        <v>21430000</v>
      </c>
      <c r="T42" s="45" t="inlineStr">
        <is>
          <t>應付帳款</t>
        </is>
      </c>
      <c r="U42" s="46">
        <f>-U6</f>
        <v/>
      </c>
      <c r="V42" s="80" t="n"/>
    </row>
    <row r="43">
      <c r="A43" s="81" t="n"/>
      <c r="B43" s="46" t="n"/>
      <c r="C43" s="81" t="inlineStr">
        <is>
          <t>Cr.</t>
        </is>
      </c>
      <c r="D43" s="45" t="inlineStr">
        <is>
          <t>1103xxxx</t>
        </is>
      </c>
      <c r="E43" s="45" t="inlineStr">
        <is>
          <t>銀行存款</t>
        </is>
      </c>
      <c r="F43" s="46">
        <f>-F42</f>
        <v/>
      </c>
      <c r="G43" s="47" t="n"/>
      <c r="H43" s="32" t="inlineStr">
        <is>
          <t>Cr.</t>
        </is>
      </c>
      <c r="I43" s="45" t="inlineStr">
        <is>
          <t>1103xxxx</t>
        </is>
      </c>
      <c r="J43" s="45" t="inlineStr">
        <is>
          <t>銀行存款</t>
        </is>
      </c>
      <c r="K43" s="46">
        <f>-K42</f>
        <v/>
      </c>
      <c r="L43" s="80" t="n"/>
      <c r="M43" s="81" t="inlineStr">
        <is>
          <t>Cr.</t>
        </is>
      </c>
      <c r="N43" s="45" t="inlineStr">
        <is>
          <t>1103xxxx</t>
        </is>
      </c>
      <c r="O43" s="45" t="inlineStr">
        <is>
          <t>銀行存款</t>
        </is>
      </c>
      <c r="P43" s="46">
        <f>-P42</f>
        <v/>
      </c>
      <c r="Q43" s="80" t="n"/>
      <c r="R43" s="81" t="inlineStr">
        <is>
          <t>Cr.</t>
        </is>
      </c>
      <c r="S43" s="45" t="inlineStr">
        <is>
          <t>1103xxxx</t>
        </is>
      </c>
      <c r="T43" s="45" t="inlineStr">
        <is>
          <t>銀行存款</t>
        </is>
      </c>
      <c r="U43" s="46">
        <f>-U42</f>
        <v/>
      </c>
      <c r="V43" s="80" t="n"/>
    </row>
    <row r="44" ht="16.2" customHeight="1" s="186" thickBot="1">
      <c r="A44" s="52" t="n"/>
      <c r="B44" s="34" t="n"/>
      <c r="C44" s="52" t="n"/>
      <c r="D44" s="35" t="n"/>
      <c r="E44" s="35" t="n"/>
      <c r="F44" s="34" t="n"/>
      <c r="G44" s="53" t="n"/>
      <c r="H44" s="34" t="n"/>
      <c r="I44" s="34" t="n"/>
      <c r="J44" s="33" t="n"/>
      <c r="K44" s="34" t="n"/>
      <c r="L44" s="87" t="n"/>
      <c r="M44" s="86" t="n"/>
      <c r="N44" s="37" t="n"/>
      <c r="O44" s="37" t="n"/>
      <c r="P44" s="37" t="n"/>
      <c r="Q44" s="87" t="n"/>
      <c r="R44" s="86" t="n"/>
      <c r="S44" s="37" t="n"/>
      <c r="T44" s="37" t="n"/>
      <c r="U44" s="37" t="n"/>
      <c r="V44" s="87" t="n"/>
    </row>
    <row r="45">
      <c r="A45" s="81" t="n">
        <v>7</v>
      </c>
      <c r="B45" s="64" t="inlineStr">
        <is>
          <t>收取AR</t>
        </is>
      </c>
      <c r="C45" s="81" t="inlineStr">
        <is>
          <t>Dr.</t>
        </is>
      </c>
      <c r="D45" s="45" t="inlineStr">
        <is>
          <t>1103xxxx</t>
        </is>
      </c>
      <c r="E45" s="45" t="inlineStr">
        <is>
          <t>銀行存款</t>
        </is>
      </c>
      <c r="F45" s="130" t="n"/>
      <c r="G45" s="47" t="n"/>
      <c r="H45" s="32" t="inlineStr">
        <is>
          <t>Dr.</t>
        </is>
      </c>
      <c r="I45" s="45" t="inlineStr">
        <is>
          <t>1103xxxx</t>
        </is>
      </c>
      <c r="J45" s="45" t="inlineStr">
        <is>
          <t>銀行存款</t>
        </is>
      </c>
      <c r="K45" s="46">
        <f>-K46</f>
        <v/>
      </c>
      <c r="L45" s="47" t="n"/>
      <c r="M45" s="129" t="n"/>
      <c r="N45" s="130" t="n"/>
      <c r="O45" s="130" t="n"/>
      <c r="P45" s="130" t="n"/>
      <c r="Q45" s="131" t="n"/>
      <c r="R45" s="129" t="n"/>
      <c r="S45" s="130" t="n"/>
      <c r="T45" s="130" t="n"/>
      <c r="U45" s="130" t="n"/>
      <c r="V45" s="131" t="n"/>
    </row>
    <row r="46">
      <c r="A46" s="81" t="n"/>
      <c r="B46" s="46" t="n"/>
      <c r="C46" s="81" t="inlineStr">
        <is>
          <t>Cr.</t>
        </is>
      </c>
      <c r="D46" s="45" t="n">
        <v>11430000</v>
      </c>
      <c r="E46" s="45" t="inlineStr">
        <is>
          <t>應收帳款</t>
        </is>
      </c>
      <c r="F46" s="130" t="n"/>
      <c r="G46" s="47" t="n"/>
      <c r="H46" s="32" t="inlineStr">
        <is>
          <t>Cr.</t>
        </is>
      </c>
      <c r="I46" s="45" t="n">
        <v>11430000</v>
      </c>
      <c r="J46" s="45" t="inlineStr">
        <is>
          <t>應收帳款</t>
        </is>
      </c>
      <c r="K46" s="46">
        <f>-K31</f>
        <v/>
      </c>
      <c r="L46" s="47" t="n"/>
      <c r="M46" s="129" t="n"/>
      <c r="N46" s="130" t="n"/>
      <c r="O46" s="130" t="n"/>
      <c r="P46" s="130" t="n"/>
      <c r="Q46" s="131" t="n"/>
      <c r="R46" s="129" t="n"/>
      <c r="S46" s="130" t="n"/>
      <c r="T46" s="130" t="n"/>
      <c r="U46" s="130" t="n"/>
      <c r="V46" s="131" t="n"/>
    </row>
    <row r="47" ht="16.2" customHeight="1" s="186" thickBot="1">
      <c r="A47" s="52" t="n"/>
      <c r="B47" s="34" t="n"/>
      <c r="C47" s="52" t="n"/>
      <c r="D47" s="35" t="n"/>
      <c r="E47" s="34" t="n"/>
      <c r="F47" s="34" t="n"/>
      <c r="G47" s="53" t="n"/>
      <c r="H47" s="34" t="n"/>
      <c r="I47" s="33" t="n"/>
      <c r="J47" s="33" t="n"/>
      <c r="K47" s="34" t="n"/>
      <c r="L47" s="87" t="n"/>
      <c r="M47" s="86" t="n"/>
      <c r="N47" s="37" t="n"/>
      <c r="O47" s="37" t="n"/>
      <c r="P47" s="37" t="n"/>
      <c r="Q47" s="87" t="n"/>
      <c r="R47" s="86" t="n"/>
      <c r="S47" s="37" t="n"/>
      <c r="T47" s="37" t="n"/>
      <c r="U47" s="37" t="n"/>
      <c r="V47" s="87" t="n"/>
    </row>
    <row r="48">
      <c r="A48" s="32" t="n"/>
      <c r="B48" s="46" t="n"/>
      <c r="C48" s="32" t="n"/>
      <c r="D48" s="45" t="n"/>
      <c r="E48" s="46" t="n"/>
      <c r="F48" s="46" t="n"/>
      <c r="G48" s="46" t="n"/>
      <c r="H48" s="46" t="n"/>
      <c r="I48" s="32" t="n"/>
      <c r="J48" s="32" t="n"/>
      <c r="K48" s="46" t="n"/>
    </row>
    <row r="49" ht="16.2" customHeight="1" s="186" thickBot="1">
      <c r="A49" s="32" t="n"/>
      <c r="B49" s="46" t="n"/>
      <c r="C49" s="32" t="n"/>
      <c r="D49" s="45" t="n"/>
      <c r="E49" s="46" t="n"/>
      <c r="F49" s="46" t="n"/>
      <c r="G49" s="46" t="n"/>
      <c r="H49" s="46" t="n"/>
      <c r="I49" s="32" t="n"/>
      <c r="J49" s="32" t="n"/>
      <c r="K49" s="46" t="n"/>
    </row>
    <row r="50">
      <c r="A50" s="196" t="inlineStr">
        <is>
          <t>期末總結</t>
        </is>
      </c>
      <c r="B50" s="93" t="inlineStr">
        <is>
          <t>B/S</t>
        </is>
      </c>
      <c r="C50" s="94" t="n">
        <v>12400000</v>
      </c>
      <c r="D50" s="95" t="inlineStr">
        <is>
          <t>在建工程</t>
        </is>
      </c>
      <c r="E50" s="110">
        <f>SUMIF($D$4:$D$10,$C50,$F$4:$F$10)+SUMIF($D$16:$D$22,$C50,$F$16:$F$22)+SUMIF($D$31:$D$33,$C50,$F$31:$F$33)+SUMIF($D$42:$D$46,$C50,$F$42:$F$46)</f>
        <v/>
      </c>
      <c r="F50" s="197">
        <f>SUM(E50:E52)</f>
        <v/>
      </c>
      <c r="G50" s="198">
        <f>IF(F50&gt;0,"應收建造合約款","應付建造合約款")</f>
        <v/>
      </c>
      <c r="H50" s="94" t="n">
        <v>12400000</v>
      </c>
      <c r="I50" s="95" t="inlineStr">
        <is>
          <t>在建工程</t>
        </is>
      </c>
      <c r="J50" s="110">
        <f>SUMIF($I$4:$I$10,$H50,$K$4:$K$10)+SUMIF($I$16:$I$22,$H50,$K$16:$K$22)+SUMIF($I$31:$I$33,$H50,$K$31:$K$33)+SUMIF($I$42:$I$46,$H50,$K$42:$K$46)</f>
        <v/>
      </c>
      <c r="K50" s="197">
        <f>SUM(J50:J52)</f>
        <v/>
      </c>
      <c r="L50" s="198">
        <f>IF(K50&gt;0,"應收建造合約款","應付建造合約款")</f>
        <v/>
      </c>
      <c r="M50" s="132" t="n">
        <v>12400000</v>
      </c>
      <c r="N50" s="95" t="inlineStr">
        <is>
          <t>在建工程</t>
        </is>
      </c>
      <c r="O50" s="110">
        <f>SUMIF($N$4:$N$10,$M50,$P$4:$P$10)+SUMIF($N$16:$N$22,$M50,$P$16:$P$22)+SUMIF($N$31:$N$33,$M50,$P$31:$P$33)+SUMIF($N$42:$N$46,$M50,$P$42:$P$46)</f>
        <v/>
      </c>
      <c r="P50" s="197">
        <f>SUM(O50:O52)</f>
        <v/>
      </c>
      <c r="Q50" s="198">
        <f>IF(P50&gt;0,"應收建造合約款","應付建造合約款")</f>
        <v/>
      </c>
      <c r="R50" s="132" t="n">
        <v>12400000</v>
      </c>
      <c r="S50" s="95" t="inlineStr">
        <is>
          <t>在建工程</t>
        </is>
      </c>
      <c r="T50" s="110">
        <f>SUMIF($S$4:$S$10,$R50,$U$4:$U$10)+SUMIF($S$16:$S$22,$R50,$U$16:$U$22)+SUMIF($S$31:$S$33,$R50,$U$31:$U$33)+SUMIF($S$42:$S$46,$R50,$U$42:$U$46)</f>
        <v/>
      </c>
      <c r="U50" s="197">
        <f>SUM(T50:T52)</f>
        <v/>
      </c>
      <c r="V50" s="198">
        <f>IF(U50&gt;0,"應收建造合約款","應付建造合約款")</f>
        <v/>
      </c>
      <c r="W50" s="79" t="n"/>
      <c r="X50" s="79" t="n"/>
      <c r="Y50" s="79" t="n"/>
      <c r="Z50" s="79" t="n"/>
    </row>
    <row r="51">
      <c r="A51" s="199" t="n"/>
      <c r="B51" s="200" t="n"/>
      <c r="C51" s="10" t="n">
        <v>12470000</v>
      </c>
      <c r="D51" s="96" t="inlineStr">
        <is>
          <t>在建損益-承攬案</t>
        </is>
      </c>
      <c r="E51" s="216">
        <f>SUMIF($D$4:$D$10,$C51,$F$4:$F$10)+SUMIF($D$16:$D$22,$C51,$F$16:$F$22)+SUMIF($D$31:$D$33,$C51,$F$31:$F$33)+SUMIF($D$42:$D$46,$C51,$F$42:$F$46)</f>
        <v/>
      </c>
      <c r="F51" s="201" t="n"/>
      <c r="G51" s="202" t="n"/>
      <c r="H51" s="10" t="n">
        <v>12470000</v>
      </c>
      <c r="I51" s="96" t="inlineStr">
        <is>
          <t>在建損益-承攬案</t>
        </is>
      </c>
      <c r="J51" s="111">
        <f>SUMIF($I$4:$I$10,$H51,$K$4:$K$10)+SUMIF($I$16:$I$22,$H51,$K$16:$K$22)+SUMIF($I$31:$I$33,$H51,$K$31:$K$33)+SUMIF($I$42:$I$46,$H51,$K$42:$K$46)</f>
        <v/>
      </c>
      <c r="K51" s="201" t="n"/>
      <c r="L51" s="202" t="n"/>
      <c r="M51" s="133" t="n">
        <v>12470000</v>
      </c>
      <c r="N51" s="96" t="inlineStr">
        <is>
          <t>在建損益-承攬案</t>
        </is>
      </c>
      <c r="O51" s="111">
        <f>SUMIF($N$4:$N$10,$M51,$P$4:$P$10)+SUMIF($N$16:$N$22,$M51,$P$16:$P$22)+SUMIF($N$31:$N$33,$M51,$P$31:$P$33)+SUMIF($N$42:$N$46,$M51,$P$42:$P$46)</f>
        <v/>
      </c>
      <c r="P51" s="201" t="n"/>
      <c r="Q51" s="202" t="n"/>
      <c r="R51" s="133" t="n">
        <v>12470000</v>
      </c>
      <c r="S51" s="96" t="inlineStr">
        <is>
          <t>在建損益-承攬案</t>
        </is>
      </c>
      <c r="T51" s="111">
        <f>SUMIF($S$4:$S$10,$R51,$U$4:$U$10)+SUMIF($S$16:$S$22,$R51,$U$16:$U$22)+SUMIF($S$31:$S$33,$R51,$U$31:$U$33)+SUMIF($S$42:$S$46,$R51,$U$42:$U$46)</f>
        <v/>
      </c>
      <c r="U51" s="201" t="n"/>
      <c r="V51" s="202" t="n"/>
      <c r="W51" s="79" t="n"/>
      <c r="X51" s="79" t="n"/>
      <c r="Y51" s="79" t="n"/>
      <c r="Z51" s="79" t="n"/>
    </row>
    <row r="52">
      <c r="A52" s="199" t="n"/>
      <c r="B52" s="200" t="n"/>
      <c r="C52" s="13" t="n">
        <v>22640000</v>
      </c>
      <c r="D52" s="14" t="inlineStr">
        <is>
          <t>預收工程款</t>
        </is>
      </c>
      <c r="E52" s="111">
        <f>SUMIF($D$4:$D$10,$C52,$F$4:$F$10)+SUMIF($D$16:$D$22,$C52,$F$16:$F$22)+SUMIF($D$31:$D$33,$C52,$F$31:$F$33)+SUMIF($D$42:$D$46,$C52,$F$42:$F$46)</f>
        <v/>
      </c>
      <c r="F52" s="203" t="n"/>
      <c r="G52" s="204" t="n"/>
      <c r="H52" s="13" t="n">
        <v>22640000</v>
      </c>
      <c r="I52" s="14" t="inlineStr">
        <is>
          <t>預收工程款</t>
        </is>
      </c>
      <c r="J52" s="111">
        <f>SUMIF($I$4:$I$10,$H52,$K$4:$K$10)+SUMIF($I$16:$I$22,$H52,$K$16:$K$22)+SUMIF($I$31:$I$33,$H52,$K$31:$K$33)+SUMIF($I$42:$I$46,$H52,$K$42:$K$46)</f>
        <v/>
      </c>
      <c r="K52" s="203" t="n"/>
      <c r="L52" s="204" t="n"/>
      <c r="M52" s="134" t="n">
        <v>22640000</v>
      </c>
      <c r="N52" s="14" t="inlineStr">
        <is>
          <t>預收工程款</t>
        </is>
      </c>
      <c r="O52" s="111">
        <f>SUMIF($N$4:$N$10,$M52,$P$4:$P$10)+SUMIF($N$16:$N$22,$M52,$P$16:$P$22)+SUMIF($N$31:$N$33,$M52,$P$31:$P$33)+SUMIF($N$42:$N$46,$M52,$P$42:$P$46)</f>
        <v/>
      </c>
      <c r="P52" s="203" t="n"/>
      <c r="Q52" s="204" t="n"/>
      <c r="R52" s="134" t="n">
        <v>22640000</v>
      </c>
      <c r="S52" s="14" t="inlineStr">
        <is>
          <t>預收工程款</t>
        </is>
      </c>
      <c r="T52" s="111">
        <f>SUMIF($S$4:$S$10,$R52,$U$4:$U$10)+SUMIF($S$16:$S$22,$R52,$U$16:$U$22)+SUMIF($S$31:$S$33,$R52,$U$31:$U$33)+SUMIF($S$42:$S$46,$R52,$U$42:$U$46)</f>
        <v/>
      </c>
      <c r="U52" s="203" t="n"/>
      <c r="V52" s="204" t="n"/>
      <c r="W52" s="79" t="n"/>
      <c r="X52" s="79" t="n"/>
      <c r="Y52" s="79" t="n"/>
      <c r="Z52" s="79" t="n"/>
    </row>
    <row r="53">
      <c r="A53" s="199" t="n"/>
      <c r="B53" s="200" t="n"/>
      <c r="C53" s="17" t="inlineStr">
        <is>
          <t>1103xxxx</t>
        </is>
      </c>
      <c r="D53" s="18" t="inlineStr">
        <is>
          <t>銀行存款</t>
        </is>
      </c>
      <c r="E53" s="121">
        <f>SUMIF($D$4:$D$10,$C53,$F$4:$F$10)+SUMIF($D$16:$D$22,$C53,$F$16:$F$22)+SUMIF($D$31:$D$33,$C53,$F$31:$F$33)+SUMIF($D$42:$D$46,$C53,$F$42:$F$46)</f>
        <v/>
      </c>
      <c r="F53" s="115">
        <f>E53</f>
        <v/>
      </c>
      <c r="G53" s="97" t="inlineStr">
        <is>
          <t>銀行存款</t>
        </is>
      </c>
      <c r="H53" s="17" t="inlineStr">
        <is>
          <t>1103xxxx</t>
        </is>
      </c>
      <c r="I53" s="18" t="inlineStr">
        <is>
          <t>銀行存款</t>
        </is>
      </c>
      <c r="J53" s="121">
        <f>SUMIF($I$4:$I$10,$H53,$K$4:$K$10)+SUMIF($I$16:$I$22,$H53,$K$16:$K$22)+SUMIF($I$31:$I$33,$H53,$K$31:$K$33)+SUMIF($I$42:$I$46,$H53,$K$42:$K$46)</f>
        <v/>
      </c>
      <c r="K53" s="115">
        <f>J53</f>
        <v/>
      </c>
      <c r="L53" s="97" t="inlineStr">
        <is>
          <t>銀行存款</t>
        </is>
      </c>
      <c r="M53" s="135" t="inlineStr">
        <is>
          <t>1103xxxx</t>
        </is>
      </c>
      <c r="N53" s="18" t="inlineStr">
        <is>
          <t>銀行存款</t>
        </is>
      </c>
      <c r="O53" s="121">
        <f>SUMIF($N$4:$N$10,$M53,$P$4:$P$10)+SUMIF($N$16:$N$22,$M53,$P$16:$P$22)+SUMIF($N$31:$N$33,$M53,$P$31:$P$33)+SUMIF($N$42:$N$46,$M53,$P$42:$P$46)</f>
        <v/>
      </c>
      <c r="P53" s="115">
        <f>O53</f>
        <v/>
      </c>
      <c r="Q53" s="97" t="inlineStr">
        <is>
          <t>銀行存款</t>
        </is>
      </c>
      <c r="R53" s="135" t="inlineStr">
        <is>
          <t>1103xxxx</t>
        </is>
      </c>
      <c r="S53" s="18" t="inlineStr">
        <is>
          <t>銀行存款</t>
        </is>
      </c>
      <c r="T53" s="121">
        <f>SUMIF($S$4:$S$10,$R53,$U$4:$U$10)+SUMIF($S$16:$S$22,$R53,$U$16:$U$22)+SUMIF($S$31:$S$33,$R53,$U$31:$U$33)+SUMIF($S$42:$S$46,$R53,$U$42:$U$46)</f>
        <v/>
      </c>
      <c r="U53" s="115">
        <f>T53</f>
        <v/>
      </c>
      <c r="V53" s="97" t="inlineStr">
        <is>
          <t>銀行存款</t>
        </is>
      </c>
      <c r="W53" s="79" t="n"/>
      <c r="X53" s="79" t="n"/>
      <c r="Y53" s="79" t="n"/>
      <c r="Z53" s="79" t="n"/>
    </row>
    <row r="54">
      <c r="A54" s="199" t="n"/>
      <c r="B54" s="200" t="n"/>
      <c r="C54" s="20" t="n">
        <v>11430000</v>
      </c>
      <c r="D54" s="98" t="inlineStr">
        <is>
          <t>應收帳款</t>
        </is>
      </c>
      <c r="E54" s="122">
        <f>SUMIF($D$4:$D$10,$C54,$F$4:$F$10)+SUMIF($D$16:$D$22,$C54,$F$16:$F$22)+SUMIF($D$31:$D$33,$C54,$F$31:$F$33)+SUMIF($D$42:$D$46,$C54,$F$42:$F$46)</f>
        <v/>
      </c>
      <c r="F54" s="116">
        <f>E54</f>
        <v/>
      </c>
      <c r="G54" s="99" t="inlineStr">
        <is>
          <t>應收帳款</t>
        </is>
      </c>
      <c r="H54" s="20" t="n">
        <v>11430000</v>
      </c>
      <c r="I54" s="98" t="inlineStr">
        <is>
          <t>應收帳款</t>
        </is>
      </c>
      <c r="J54" s="122">
        <f>SUMIF($I$4:$I$10,$H54,$K$4:$K$10)+SUMIF($I$16:$I$22,$H54,$K$16:$K$22)+SUMIF($I$31:$I$33,$H54,$K$31:$K$33)+SUMIF($I$42:$I$46,$H54,$K$42:$K$46)</f>
        <v/>
      </c>
      <c r="K54" s="116">
        <f>J54</f>
        <v/>
      </c>
      <c r="L54" s="99" t="inlineStr">
        <is>
          <t>應收帳款</t>
        </is>
      </c>
      <c r="M54" s="136" t="n">
        <v>11430000</v>
      </c>
      <c r="N54" s="98" t="inlineStr">
        <is>
          <t>應收帳款</t>
        </is>
      </c>
      <c r="O54" s="122">
        <f>SUMIF($N$4:$N$10,$M54,$P$4:$P$10)+SUMIF($N$16:$N$22,$M54,$P$16:$P$22)+SUMIF($N$31:$N$33,$M54,$P$31:$P$33)+SUMIF($N$42:$N$46,$M54,$P$42:$P$46)</f>
        <v/>
      </c>
      <c r="P54" s="116">
        <f>O54</f>
        <v/>
      </c>
      <c r="Q54" s="99" t="inlineStr">
        <is>
          <t>應收帳款</t>
        </is>
      </c>
      <c r="R54" s="136" t="n">
        <v>11430000</v>
      </c>
      <c r="S54" s="98" t="inlineStr">
        <is>
          <t>應收帳款</t>
        </is>
      </c>
      <c r="T54" s="122">
        <f>SUMIF($S$4:$S$10,$R54,$U$4:$U$10)+SUMIF($S$16:$S$22,$R54,$U$16:$U$22)+SUMIF($S$31:$S$33,$R54,$U$31:$U$33)+SUMIF($S$42:$S$46,$R54,$U$42:$U$46)</f>
        <v/>
      </c>
      <c r="U54" s="116">
        <f>T54</f>
        <v/>
      </c>
      <c r="V54" s="99" t="inlineStr">
        <is>
          <t>應收帳款</t>
        </is>
      </c>
      <c r="W54" s="79" t="n"/>
      <c r="X54" s="79" t="n"/>
      <c r="Y54" s="79" t="n"/>
      <c r="Z54" s="79" t="n"/>
    </row>
    <row r="55">
      <c r="A55" s="199" t="n"/>
      <c r="B55" s="200" t="n"/>
      <c r="C55" s="20" t="n">
        <v>21430000</v>
      </c>
      <c r="D55" s="98" t="inlineStr">
        <is>
          <t>應付帳款</t>
        </is>
      </c>
      <c r="E55" s="122">
        <f>SUMIF($D$4:$D$10,$C55,$F$4:$F$10)+SUMIF($D$16:$D$22,$C55,$F$16:$F$22)+SUMIF($D$31:$D$33,$C55,$F$31:$F$33)+SUMIF($D$42:$D$46,$C55,$F$42:$F$46)</f>
        <v/>
      </c>
      <c r="F55" s="116">
        <f>E55</f>
        <v/>
      </c>
      <c r="G55" s="100" t="inlineStr">
        <is>
          <t>應付帳款</t>
        </is>
      </c>
      <c r="H55" s="20" t="n">
        <v>21430000</v>
      </c>
      <c r="I55" s="98" t="inlineStr">
        <is>
          <t>應付帳款</t>
        </is>
      </c>
      <c r="J55" s="122">
        <f>SUMIF($I$4:$I$10,$H55,$K$4:$K$10)+SUMIF($I$16:$I$22,$H55,$K$16:$K$22)+SUMIF($I$31:$I$33,$H55,$K$31:$K$33)+SUMIF($I$42:$I$46,$H55,$K$42:$K$46)</f>
        <v/>
      </c>
      <c r="K55" s="116">
        <f>J55</f>
        <v/>
      </c>
      <c r="L55" s="100" t="inlineStr">
        <is>
          <t>應付帳款</t>
        </is>
      </c>
      <c r="M55" s="136" t="n">
        <v>21430000</v>
      </c>
      <c r="N55" s="98" t="inlineStr">
        <is>
          <t>應付帳款</t>
        </is>
      </c>
      <c r="O55" s="122">
        <f>SUMIF($N$4:$N$10,$M55,$P$4:$P$10)+SUMIF($N$16:$N$22,$M55,$P$16:$P$22)+SUMIF($N$31:$N$33,$M55,$P$31:$P$33)+SUMIF($N$42:$N$46,$M55,$P$42:$P$46)</f>
        <v/>
      </c>
      <c r="P55" s="116">
        <f>O55</f>
        <v/>
      </c>
      <c r="Q55" s="100" t="inlineStr">
        <is>
          <t>應付帳款</t>
        </is>
      </c>
      <c r="R55" s="136" t="n">
        <v>21430000</v>
      </c>
      <c r="S55" s="98" t="inlineStr">
        <is>
          <t>應付帳款</t>
        </is>
      </c>
      <c r="T55" s="122">
        <f>SUMIF($S$4:$S$10,$R55,$U$4:$U$10)+SUMIF($S$16:$S$22,$R55,$U$16:$U$22)+SUMIF($S$31:$S$33,$R55,$U$31:$U$33)+SUMIF($S$42:$S$46,$R55,$U$42:$U$46)</f>
        <v/>
      </c>
      <c r="U55" s="116">
        <f>T55</f>
        <v/>
      </c>
      <c r="V55" s="100" t="inlineStr">
        <is>
          <t>應付帳款</t>
        </is>
      </c>
      <c r="W55" s="79" t="n"/>
      <c r="X55" s="79" t="n"/>
      <c r="Y55" s="79" t="n"/>
      <c r="Z55" s="79" t="n"/>
    </row>
    <row r="56">
      <c r="A56" s="199" t="n"/>
      <c r="B56" s="200" t="n"/>
      <c r="C56" s="20" t="n">
        <v>12640000</v>
      </c>
      <c r="D56" s="98" t="inlineStr">
        <is>
          <t>進項稅額</t>
        </is>
      </c>
      <c r="E56" s="122">
        <f>SUMIF($D$4:$D$10,$C56,$F$4:$F$10)+SUMIF($D$16:$D$22,$C56,$F$16:$F$22)+SUMIF($D$31:$D$33,$C56,$F$31:$F$33)+SUMIF($D$42:$D$46,$C56,$F$42:$F$46)</f>
        <v/>
      </c>
      <c r="F56" s="116">
        <f>E56</f>
        <v/>
      </c>
      <c r="G56" s="100" t="inlineStr">
        <is>
          <t>進項稅額</t>
        </is>
      </c>
      <c r="H56" s="20" t="n">
        <v>12640000</v>
      </c>
      <c r="I56" s="98" t="inlineStr">
        <is>
          <t>進項稅額</t>
        </is>
      </c>
      <c r="J56" s="122">
        <f>SUMIF($I$4:$I$10,$H56,$K$4:$K$10)+SUMIF($I$16:$I$22,$H56,$K$16:$K$22)+SUMIF($I$31:$I$33,$H56,$K$31:$K$33)+SUMIF($I$42:$I$46,$H56,$K$42:$K$46)</f>
        <v/>
      </c>
      <c r="K56" s="116">
        <f>J56</f>
        <v/>
      </c>
      <c r="L56" s="100" t="inlineStr">
        <is>
          <t>進項稅額</t>
        </is>
      </c>
      <c r="M56" s="136" t="n">
        <v>12640000</v>
      </c>
      <c r="N56" s="98" t="inlineStr">
        <is>
          <t>進項稅額</t>
        </is>
      </c>
      <c r="O56" s="122">
        <f>SUMIF($N$4:$N$10,$M56,$P$4:$P$10)+SUMIF($N$16:$N$22,$M56,$P$16:$P$22)+SUMIF($N$31:$N$33,$M56,$P$31:$P$33)+SUMIF($N$42:$N$46,$M56,$P$42:$P$46)</f>
        <v/>
      </c>
      <c r="P56" s="116">
        <f>O56</f>
        <v/>
      </c>
      <c r="Q56" s="100" t="inlineStr">
        <is>
          <t>進項稅額</t>
        </is>
      </c>
      <c r="R56" s="136" t="n">
        <v>12640000</v>
      </c>
      <c r="S56" s="98" t="inlineStr">
        <is>
          <t>進項稅額</t>
        </is>
      </c>
      <c r="T56" s="122">
        <f>SUMIF($S$4:$S$10,$R56,$U$4:$U$10)+SUMIF($S$16:$S$22,$R56,$U$16:$U$22)+SUMIF($S$31:$S$33,$R56,$U$31:$U$33)+SUMIF($S$42:$S$46,$R56,$U$42:$U$46)</f>
        <v/>
      </c>
      <c r="U56" s="116">
        <f>T56</f>
        <v/>
      </c>
      <c r="V56" s="100" t="inlineStr">
        <is>
          <t>進項稅額</t>
        </is>
      </c>
      <c r="W56" s="79" t="n"/>
      <c r="X56" s="79" t="n"/>
      <c r="Y56" s="79" t="n"/>
      <c r="Z56" s="79" t="n"/>
    </row>
    <row r="57">
      <c r="A57" s="199" t="n"/>
      <c r="B57" s="200" t="n"/>
      <c r="C57" s="23" t="n">
        <v>22140000</v>
      </c>
      <c r="D57" s="24" t="inlineStr">
        <is>
          <t>銷項稅額</t>
        </is>
      </c>
      <c r="E57" s="123">
        <f>SUMIF($D$4:$D$10,$C57,$F$4:$F$10)+SUMIF($D$16:$D$22,$C57,$F$16:$F$22)+SUMIF($D$31:$D$33,$C57,$F$31:$F$33)+SUMIF($D$42:$D$46,$C57,$F$42:$F$46)</f>
        <v/>
      </c>
      <c r="F57" s="117">
        <f>E57</f>
        <v/>
      </c>
      <c r="G57" s="101" t="inlineStr">
        <is>
          <t>銷項稅額</t>
        </is>
      </c>
      <c r="H57" s="23" t="n">
        <v>22140000</v>
      </c>
      <c r="I57" s="24" t="inlineStr">
        <is>
          <t>銷項稅額</t>
        </is>
      </c>
      <c r="J57" s="123">
        <f>SUMIF($I$4:$I$10,$H57,$K$4:$K$10)+SUMIF($I$16:$I$22,$H57,$K$16:$K$22)+SUMIF($I$31:$I$33,$H57,$K$31:$K$33)+SUMIF($I$42:$I$46,$H57,$K$42:$K$46)</f>
        <v/>
      </c>
      <c r="K57" s="117">
        <f>J57</f>
        <v/>
      </c>
      <c r="L57" s="101" t="inlineStr">
        <is>
          <t>銷項稅額</t>
        </is>
      </c>
      <c r="M57" s="137" t="n">
        <v>22140000</v>
      </c>
      <c r="N57" s="24" t="inlineStr">
        <is>
          <t>銷項稅額</t>
        </is>
      </c>
      <c r="O57" s="123">
        <f>SUMIF($N$4:$N$10,$M57,$P$4:$P$10)+SUMIF($N$16:$N$22,$M57,$P$16:$P$22)+SUMIF($N$31:$N$33,$M57,$P$31:$P$33)+SUMIF($N$42:$N$46,$M57,$P$42:$P$46)</f>
        <v/>
      </c>
      <c r="P57" s="117">
        <f>O57</f>
        <v/>
      </c>
      <c r="Q57" s="101" t="inlineStr">
        <is>
          <t>銷項稅額</t>
        </is>
      </c>
      <c r="R57" s="137" t="n">
        <v>22140000</v>
      </c>
      <c r="S57" s="24" t="inlineStr">
        <is>
          <t>銷項稅額</t>
        </is>
      </c>
      <c r="T57" s="123">
        <f>SUMIF($S$4:$S$10,$R57,$U$4:$U$10)+SUMIF($S$16:$S$22,$R57,$U$16:$U$22)+SUMIF($S$31:$S$33,$R57,$U$31:$U$33)+SUMIF($S$42:$S$46,$R57,$U$42:$U$46)</f>
        <v/>
      </c>
      <c r="U57" s="117">
        <f>T57</f>
        <v/>
      </c>
      <c r="V57" s="101" t="inlineStr">
        <is>
          <t>銷項稅額</t>
        </is>
      </c>
      <c r="W57" s="79" t="n"/>
      <c r="X57" s="79" t="n"/>
      <c r="Y57" s="79" t="n"/>
      <c r="Z57" s="79" t="n"/>
    </row>
    <row r="58">
      <c r="A58" s="199" t="n"/>
      <c r="B58" s="106" t="inlineStr">
        <is>
          <t>P/L</t>
        </is>
      </c>
      <c r="C58" s="102" t="n">
        <v>45110000</v>
      </c>
      <c r="D58" s="103" t="inlineStr">
        <is>
          <t>承攬工程收入</t>
        </is>
      </c>
      <c r="E58" s="216">
        <f>SUMIF($D$4:$D$10,$C58,$F$4:$F$10)+SUMIF($D$16:$D$22,$C58,$F$16:$F$22)+SUMIF($D$31:$D$33,$C58,$F$31:$F$33)+SUMIF($D$42:$D$46,$C58,$F$42:$F$46)</f>
        <v/>
      </c>
      <c r="F58" s="205">
        <f>SUM(E58:E68)</f>
        <v/>
      </c>
      <c r="G58" s="206" t="inlineStr">
        <is>
          <t>本期損益</t>
        </is>
      </c>
      <c r="H58" s="138" t="n">
        <v>45110000</v>
      </c>
      <c r="I58" s="103" t="inlineStr">
        <is>
          <t>承攬工程收入</t>
        </is>
      </c>
      <c r="J58" s="124">
        <f>SUMIF($I$4:$I$10,$H58,$K$4:$K$10)+SUMIF($I$16:$I$22,$H58,$K$16:$K$22)+SUMIF($I$31:$I$33,$H58,$K$31:$K$33)+SUMIF($I$42:$I$46,$H58,$K$42:$K$46)</f>
        <v/>
      </c>
      <c r="K58" s="205">
        <f>SUM(J58:J68)</f>
        <v/>
      </c>
      <c r="L58" s="206" t="inlineStr">
        <is>
          <t>本期損益</t>
        </is>
      </c>
      <c r="M58" s="138" t="n">
        <v>45110000</v>
      </c>
      <c r="N58" s="103" t="inlineStr">
        <is>
          <t>承攬工程收入</t>
        </is>
      </c>
      <c r="O58" s="124">
        <f>SUMIF($N$4:$N$10,$M58,$P$4:$P$10)+SUMIF($N$16:$N$22,$M58,$P$16:$P$22)+SUMIF($N$31:$N$33,$M58,$P$31:$P$33)+SUMIF($N$42:$N$46,$M58,$P$42:$P$46)</f>
        <v/>
      </c>
      <c r="P58" s="205">
        <f>SUM(O58:O68)</f>
        <v/>
      </c>
      <c r="Q58" s="206" t="inlineStr">
        <is>
          <t>本期損益</t>
        </is>
      </c>
      <c r="R58" s="138" t="n">
        <v>45110000</v>
      </c>
      <c r="S58" s="103" t="inlineStr">
        <is>
          <t>承攬工程收入</t>
        </is>
      </c>
      <c r="T58" s="124">
        <f>SUMIF($S$4:$S$10,$R58,$U$4:$U$10)+SUMIF($S$16:$S$22,$R58,$U$16:$U$22)+SUMIF($S$31:$S$33,$R58,$U$31:$U$33)+SUMIF($S$42:$S$46,$R58,$U$42:$U$46)</f>
        <v/>
      </c>
      <c r="U58" s="205">
        <f>SUM(T58:T68)</f>
        <v/>
      </c>
      <c r="V58" s="206" t="inlineStr">
        <is>
          <t>本期損益</t>
        </is>
      </c>
      <c r="W58" s="79" t="n"/>
      <c r="X58" s="79" t="n"/>
      <c r="Y58" s="79" t="n"/>
      <c r="Z58" s="79" t="n"/>
    </row>
    <row r="59">
      <c r="A59" s="199" t="n"/>
      <c r="B59" s="200" t="n"/>
      <c r="C59" s="102" t="n">
        <v>55110000</v>
      </c>
      <c r="D59" s="103" t="inlineStr">
        <is>
          <t>承攬工程成本</t>
        </is>
      </c>
      <c r="E59" s="216">
        <f>SUMIF($D$4:$D$10,$C59,$F$4:$F$10)+SUMIF($D$16:$D$22,$C59,$F$16:$F$22)+SUMIF($D$31:$D$33,$C59,$F$31:$F$33)+SUMIF($D$42:$D$46,$C59,$F$42:$F$46)</f>
        <v/>
      </c>
      <c r="F59" s="201" t="n"/>
      <c r="G59" s="202" t="n"/>
      <c r="H59" s="138" t="n">
        <v>55110000</v>
      </c>
      <c r="I59" s="103" t="inlineStr">
        <is>
          <t>承攬工程成本</t>
        </is>
      </c>
      <c r="J59" s="124">
        <f>SUMIF($I$4:$I$10,$H59,$K$4:$K$10)+SUMIF($I$16:$I$22,$H59,$K$16:$K$22)+SUMIF($I$31:$I$33,$H59,$K$31:$K$33)+SUMIF($I$42:$I$46,$H59,$K$42:$K$46)</f>
        <v/>
      </c>
      <c r="K59" s="201" t="n"/>
      <c r="L59" s="202" t="n"/>
      <c r="M59" s="138" t="n">
        <v>55110000</v>
      </c>
      <c r="N59" s="103" t="inlineStr">
        <is>
          <t>承攬工程成本</t>
        </is>
      </c>
      <c r="O59" s="124">
        <f>SUMIF($N$4:$N$10,$M59,$P$4:$P$10)+SUMIF($N$16:$N$22,$M59,$P$16:$P$22)+SUMIF($N$31:$N$33,$M59,$P$31:$P$33)+SUMIF($N$42:$N$46,$M59,$P$42:$P$46)</f>
        <v/>
      </c>
      <c r="P59" s="201" t="n"/>
      <c r="Q59" s="202" t="n"/>
      <c r="R59" s="138" t="n">
        <v>55110000</v>
      </c>
      <c r="S59" s="103" t="inlineStr">
        <is>
          <t>承攬工程成本</t>
        </is>
      </c>
      <c r="T59" s="124">
        <f>SUMIF($S$4:$S$10,$R59,$U$4:$U$10)+SUMIF($S$16:$S$22,$R59,$U$16:$U$22)+SUMIF($S$31:$S$33,$R59,$U$31:$U$33)+SUMIF($S$42:$S$46,$R59,$U$42:$U$46)</f>
        <v/>
      </c>
      <c r="U59" s="201" t="n"/>
      <c r="V59" s="202" t="n"/>
      <c r="W59" s="79" t="n"/>
      <c r="X59" s="79" t="n"/>
      <c r="Y59" s="79" t="n"/>
      <c r="Z59" s="79" t="n"/>
    </row>
    <row r="60">
      <c r="A60" s="199" t="n"/>
      <c r="B60" s="200" t="n"/>
      <c r="C60" s="102" t="n"/>
      <c r="D60" s="103" t="n"/>
      <c r="E60" s="124">
        <f>SUMIF($D$4:$D$10,$C60,$F$4:$F$10)+SUMIF($D$16:$D$22,$C60,$F$16:$F$22)+SUMIF($D$31:$D$33,$C60,$F$31:$F$33)+SUMIF($D$42:$D$46,$C60,$F$42:$F$46)</f>
        <v/>
      </c>
      <c r="F60" s="201" t="n"/>
      <c r="G60" s="202" t="n"/>
      <c r="H60" s="138" t="n"/>
      <c r="I60" s="103" t="n"/>
      <c r="J60" s="124">
        <f>SUMIF($I$4:$I$10,$H60,$K$4:$K$10)+SUMIF($I$16:$I$22,$H60,$K$16:$K$22)+SUMIF($I$31:$I$33,$H60,$K$31:$K$33)+SUMIF($I$42:$I$46,$H60,$K$42:$K$46)</f>
        <v/>
      </c>
      <c r="K60" s="201" t="n"/>
      <c r="L60" s="202" t="n"/>
      <c r="M60" s="138" t="inlineStr">
        <is>
          <t>55/56xxxxxx</t>
        </is>
      </c>
      <c r="N60" s="103" t="inlineStr">
        <is>
          <t>專案成本</t>
        </is>
      </c>
      <c r="O60" s="124">
        <f>SUMIF($N$4:$N$10,$M60,$P$4:$P$10)+SUMIF($N$16:$N$22,$M60,$P$16:$P$22)+SUMIF($N$31:$N$33,$M60,$P$31:$P$33)+SUMIF($N$42:$N$46,$M60,$P$42:$P$46)</f>
        <v/>
      </c>
      <c r="P60" s="201" t="n"/>
      <c r="Q60" s="202" t="n"/>
      <c r="R60" s="138" t="inlineStr">
        <is>
          <t>55/56xxxxxx</t>
        </is>
      </c>
      <c r="S60" s="103" t="inlineStr">
        <is>
          <t>專案成本</t>
        </is>
      </c>
      <c r="T60" s="216">
        <f>SUMIF($S$4:$S$10,$R60,$U$4:$U$10)+SUMIF($S$16:$S$22,$R60,$U$16:$U$22)+SUMIF($S$31:$S$33,$R60,$U$31:$U$33)+SUMIF($S$42:$S$46,$R60,$U$42:$U$46)</f>
        <v/>
      </c>
      <c r="U60" s="201" t="n"/>
      <c r="V60" s="202" t="n"/>
      <c r="W60" s="79" t="n"/>
      <c r="X60" s="79" t="n"/>
      <c r="Y60" s="79" t="n"/>
      <c r="Z60" s="79" t="n"/>
    </row>
    <row r="61">
      <c r="A61" s="199" t="n"/>
      <c r="B61" s="200" t="n"/>
      <c r="C61" s="102" t="n"/>
      <c r="D61" s="103" t="n"/>
      <c r="E61" s="124" t="n"/>
      <c r="F61" s="201" t="n"/>
      <c r="G61" s="202" t="n"/>
      <c r="H61" s="102" t="n"/>
      <c r="I61" s="103" t="n"/>
      <c r="J61" s="124">
        <f>SUMIF($I$4:$I$10,$H61,$K$4:$K$10)+SUMIF($I$16:$I$22,$H61,$K$16:$K$22)+SUMIF($I$31:$I$33,$H61,$K$31:$K$33)+SUMIF($I$42:$I$46,$H61,$K$42:$K$46)</f>
        <v/>
      </c>
      <c r="K61" s="201" t="n"/>
      <c r="L61" s="202" t="n"/>
      <c r="M61" s="138" t="n">
        <v>55110098</v>
      </c>
      <c r="N61" s="103" t="inlineStr">
        <is>
          <t>承攬工程成本-非人事</t>
        </is>
      </c>
      <c r="O61" s="124">
        <f>SUMIF($N$4:$N$10,$M61,$P$4:$P$10)+SUMIF($N$16:$N$22,$M61,$P$16:$P$22)+SUMIF($N$31:$N$33,$M61,$P$31:$P$33)+SUMIF($N$42:$N$46,$M61,$P$42:$P$46)</f>
        <v/>
      </c>
      <c r="P61" s="201" t="n"/>
      <c r="Q61" s="202" t="n"/>
      <c r="R61" s="138" t="n">
        <v>55110098</v>
      </c>
      <c r="S61" s="103" t="inlineStr">
        <is>
          <t>承攬工程成本-非人事</t>
        </is>
      </c>
      <c r="T61" s="124">
        <f>SUMIF($S$4:$S$10,$R61,$U$4:$U$10)+SUMIF($S$16:$S$22,$R61,$U$16:$U$22)+SUMIF($S$31:$S$33,$R61,$U$31:$U$33)+SUMIF($S$42:$S$46,$R61,$U$42:$U$46)</f>
        <v/>
      </c>
      <c r="U61" s="201" t="n"/>
      <c r="V61" s="202" t="n"/>
      <c r="W61" s="79" t="n"/>
      <c r="X61" s="79" t="n"/>
      <c r="Y61" s="79" t="n"/>
      <c r="Z61" s="79" t="n"/>
    </row>
    <row r="62">
      <c r="A62" s="199" t="n"/>
      <c r="B62" s="200" t="n"/>
      <c r="C62" s="102" t="inlineStr">
        <is>
          <t>62xxxxxx</t>
        </is>
      </c>
      <c r="D62" s="103" t="inlineStr">
        <is>
          <t>辦公室費用</t>
        </is>
      </c>
      <c r="E62" s="124">
        <f>SUMIF($D$4:$D$10,$C62,$F$4:$F$10)+SUMIF($D$16:$D$22,$C62,$F$16:$F$22)+SUMIF($D$31:$D$33,$C62,$F$31:$F$33)+SUMIF($D$42:$D$46,$C62,$F$42:$F$46)</f>
        <v/>
      </c>
      <c r="F62" s="201" t="n"/>
      <c r="G62" s="202" t="n"/>
      <c r="H62" s="138" t="inlineStr">
        <is>
          <t>62xxxxxx</t>
        </is>
      </c>
      <c r="I62" s="103" t="inlineStr">
        <is>
          <t>辦公室費用</t>
        </is>
      </c>
      <c r="J62" s="124">
        <f>SUMIF($I$4:$I$10,$H62,$K$4:$K$10)+SUMIF($I$16:$I$22,$H62,$K$16:$K$22)+SUMIF($I$31:$I$33,$H62,$K$31:$K$33)+SUMIF($I$42:$I$46,$H62,$K$42:$K$46)</f>
        <v/>
      </c>
      <c r="K62" s="201" t="n"/>
      <c r="L62" s="202" t="n"/>
      <c r="M62" s="138" t="inlineStr">
        <is>
          <t>46110050</t>
        </is>
      </c>
      <c r="N62" s="103" t="inlineStr">
        <is>
          <t>勞務收入-內部計價</t>
        </is>
      </c>
      <c r="O62" s="124">
        <f>SUMIF($N$4:$N$10,$M62,$P$4:$P$10)+SUMIF($N$16:$N$22,$M62,$P$16:$P$22)+SUMIF($N$31:$N$33,$M62,$P$31:$P$33)+SUMIF($N$42:$N$46,$M62,$P$42:$P$46)</f>
        <v/>
      </c>
      <c r="P62" s="201" t="n"/>
      <c r="Q62" s="202" t="n"/>
      <c r="R62" s="138" t="inlineStr">
        <is>
          <t>46110050</t>
        </is>
      </c>
      <c r="S62" s="103" t="inlineStr">
        <is>
          <t>勞務收入-內部計價</t>
        </is>
      </c>
      <c r="T62" s="124">
        <f>SUMIF($S$4:$S$10,$R62,$U$4:$U$10)+SUMIF($S$16:$S$22,$R62,$U$16:$U$22)+SUMIF($S$31:$S$33,$R62,$U$31:$U$33)+SUMIF($S$42:$S$46,$R62,$U$42:$U$46)</f>
        <v/>
      </c>
      <c r="U62" s="201" t="n"/>
      <c r="V62" s="202" t="n"/>
      <c r="W62" s="79" t="n"/>
      <c r="X62" s="79" t="n"/>
      <c r="Y62" s="79" t="n"/>
      <c r="Z62" s="79" t="n"/>
    </row>
    <row r="63">
      <c r="A63" s="199" t="n"/>
      <c r="B63" s="200" t="n"/>
      <c r="C63" s="102" t="n"/>
      <c r="D63" s="103" t="n"/>
      <c r="E63" s="124">
        <f>SUMIF($D$4:$D$10,$C63,$F$4:$F$10)+SUMIF($D$16:$D$22,$C63,$F$16:$F$22)+SUMIF($D$31:$D$33,$C63,$F$31:$F$33)+SUMIF($D$42:$D$46,$C63,$F$42:$F$46)</f>
        <v/>
      </c>
      <c r="F63" s="201" t="n"/>
      <c r="G63" s="202" t="n"/>
      <c r="H63" s="138" t="n"/>
      <c r="I63" s="103" t="n"/>
      <c r="J63" s="124">
        <f>SUMIF($I$4:$I$10,$H63,$K$4:$K$10)+SUMIF($I$16:$I$22,$H63,$K$16:$K$22)+SUMIF($I$31:$I$33,$H63,$K$31:$K$33)+SUMIF($I$42:$I$46,$H63,$K$42:$K$46)</f>
        <v/>
      </c>
      <c r="K63" s="201" t="n"/>
      <c r="L63" s="202" t="n"/>
      <c r="M63" s="138" t="inlineStr">
        <is>
          <t>62xxxxxx</t>
        </is>
      </c>
      <c r="N63" s="103" t="inlineStr">
        <is>
          <t>辦公室費用</t>
        </is>
      </c>
      <c r="O63" s="124">
        <f>SUMIF($N$4:$N$10,$M63,$P$4:$P$10)+SUMIF($N$16:$N$22,$M63,$P$16:$P$22)+SUMIF($N$31:$N$33,$M63,$P$31:$P$33)+SUMIF($N$42:$N$46,$M63,$P$42:$P$46)</f>
        <v/>
      </c>
      <c r="P63" s="201" t="n"/>
      <c r="Q63" s="202" t="n"/>
      <c r="R63" s="138" t="inlineStr">
        <is>
          <t>62xxxxxx</t>
        </is>
      </c>
      <c r="S63" s="103" t="inlineStr">
        <is>
          <t>辦公室費用</t>
        </is>
      </c>
      <c r="T63" s="124">
        <f>SUMIF($S$4:$S$10,$R63,$U$4:$U$10)+SUMIF($S$16:$S$22,$R63,$U$16:$U$22)+SUMIF($S$31:$S$33,$R63,$U$31:$U$33)+SUMIF($S$42:$S$46,$R63,$U$42:$U$46)</f>
        <v/>
      </c>
      <c r="U63" s="201" t="n"/>
      <c r="V63" s="202" t="n"/>
      <c r="W63" s="79" t="n"/>
      <c r="X63" s="79" t="n"/>
      <c r="Y63" s="79" t="n"/>
      <c r="Z63" s="79" t="n"/>
    </row>
    <row r="64">
      <c r="A64" s="199" t="n"/>
      <c r="B64" s="200" t="n"/>
      <c r="C64" s="102" t="n"/>
      <c r="D64" s="103" t="n"/>
      <c r="E64" s="124" t="n"/>
      <c r="F64" s="201" t="n"/>
      <c r="G64" s="202" t="n"/>
      <c r="H64" s="102" t="n"/>
      <c r="I64" s="103" t="n"/>
      <c r="J64" s="124">
        <f>SUMIF($I$4:$I$10,$H64,$K$4:$K$10)+SUMIF($I$16:$I$22,$H64,$K$16:$K$22)+SUMIF($I$31:$I$33,$H64,$K$31:$K$33)+SUMIF($I$42:$I$46,$H64,$K$42:$K$46)</f>
        <v/>
      </c>
      <c r="K64" s="201" t="n"/>
      <c r="L64" s="202" t="n"/>
      <c r="M64" s="138" t="n">
        <v>62109999</v>
      </c>
      <c r="N64" s="103" t="inlineStr">
        <is>
          <t>人事分攤</t>
        </is>
      </c>
      <c r="O64" s="124">
        <f>SUMIF($N$4:$N$10,$M64,$P$4:$P$10)+SUMIF($N$16:$N$22,$M64,$P$16:$P$22)+SUMIF($N$31:$N$33,$M64,$P$31:$P$33)+SUMIF($N$42:$N$46,$M64,$P$42:$P$46)</f>
        <v/>
      </c>
      <c r="P64" s="201" t="n"/>
      <c r="Q64" s="202" t="n"/>
      <c r="R64" s="138" t="n">
        <v>62109999</v>
      </c>
      <c r="S64" s="103" t="inlineStr">
        <is>
          <t>人事分攤</t>
        </is>
      </c>
      <c r="T64" s="216">
        <f>SUMIF($S$4:$S$10,$R64,$U$4:$U$10)+SUMIF($S$16:$S$22,$R64,$U$16:$U$22)+SUMIF($S$31:$S$33,$R64,$U$31:$U$33)+SUMIF($S$42:$S$46,$R64,$U$42:$U$46)</f>
        <v/>
      </c>
      <c r="U64" s="201" t="n"/>
      <c r="V64" s="202" t="n"/>
      <c r="W64" s="79" t="n"/>
      <c r="X64" s="79" t="n"/>
      <c r="Y64" s="79" t="n"/>
      <c r="Z64" s="79" t="n"/>
    </row>
    <row r="65">
      <c r="A65" s="199" t="n"/>
      <c r="B65" s="200" t="n"/>
      <c r="C65" s="102" t="n"/>
      <c r="D65" s="103" t="n"/>
      <c r="E65" s="124" t="n"/>
      <c r="F65" s="201" t="n"/>
      <c r="G65" s="202" t="n"/>
      <c r="H65" s="102" t="n"/>
      <c r="I65" s="103" t="n"/>
      <c r="J65" s="124">
        <f>SUMIF($I$4:$I$10,$H65,$K$4:$K$10)+SUMIF($I$16:$I$22,$H65,$K$16:$K$22)+SUMIF($I$31:$I$33,$H65,$K$31:$K$33)+SUMIF($I$42:$I$46,$H65,$K$42:$K$46)</f>
        <v/>
      </c>
      <c r="K65" s="201" t="n"/>
      <c r="L65" s="202" t="n"/>
      <c r="M65" s="138" t="n">
        <v>62370099</v>
      </c>
      <c r="N65" s="103" t="inlineStr">
        <is>
          <t>勞務費-收回投標費</t>
        </is>
      </c>
      <c r="O65" s="124">
        <f>SUMIF($N$4:$N$10,$M65,$P$4:$P$10)+SUMIF($N$16:$N$22,$M65,$P$16:$P$22)+SUMIF($N$31:$N$33,$M65,$P$31:$P$33)+SUMIF($N$42:$N$46,$M65,$P$42:$P$46)</f>
        <v/>
      </c>
      <c r="P65" s="201" t="n"/>
      <c r="Q65" s="202" t="n"/>
      <c r="R65" s="138" t="n">
        <v>62370099</v>
      </c>
      <c r="S65" s="103" t="inlineStr">
        <is>
          <t>勞務費-收回投標費</t>
        </is>
      </c>
      <c r="T65" s="124">
        <f>SUMIF($S$4:$S$10,$R65,$U$4:$U$10)+SUMIF($S$16:$S$22,$R65,$U$16:$U$22)+SUMIF($S$31:$S$33,$R65,$U$31:$U$33)+SUMIF($S$42:$S$46,$R65,$U$42:$U$46)</f>
        <v/>
      </c>
      <c r="U65" s="201" t="n"/>
      <c r="V65" s="202" t="n"/>
      <c r="W65" s="79" t="n"/>
      <c r="X65" s="79" t="n"/>
      <c r="Y65" s="79" t="n"/>
      <c r="Z65" s="79" t="n"/>
    </row>
    <row r="66">
      <c r="A66" s="199" t="n"/>
      <c r="B66" s="200" t="n"/>
      <c r="C66" s="102" t="n"/>
      <c r="D66" s="103" t="n"/>
      <c r="E66" s="124">
        <f>SUMIF($D$4:$D$10,$C66,$F$4:$F$10)+SUMIF($D$16:$D$22,$C66,$F$16:$F$22)+SUMIF($D$31:$D$33,$C66,$F$31:$F$33)+SUMIF($D$42:$D$46,$C66,$F$42:$F$46)</f>
        <v/>
      </c>
      <c r="F66" s="201" t="n"/>
      <c r="G66" s="202" t="n"/>
      <c r="H66" s="138" t="n"/>
      <c r="I66" s="103" t="n"/>
      <c r="J66" s="124">
        <f>SUMIF($I$4:$I$10,$H66,$K$4:$K$10)+SUMIF($I$16:$I$22,$H66,$K$16:$K$22)+SUMIF($I$31:$I$33,$H66,$K$31:$K$33)+SUMIF($I$42:$I$46,$H66,$K$42:$K$46)</f>
        <v/>
      </c>
      <c r="K66" s="201" t="n"/>
      <c r="L66" s="202" t="n"/>
      <c r="M66" s="138" t="n">
        <v>62350099</v>
      </c>
      <c r="N66" s="103" t="inlineStr">
        <is>
          <t>電腦out charge</t>
        </is>
      </c>
      <c r="O66" s="124">
        <f>SUMIF($N$4:$N$10,$M66,$P$4:$P$10)+SUMIF($N$16:$N$22,$M66,$P$16:$P$22)+SUMIF($N$31:$N$33,$M66,$P$31:$P$33)+SUMIF($N$42:$N$46,$M66,$P$42:$P$46)</f>
        <v/>
      </c>
      <c r="P66" s="201" t="n"/>
      <c r="Q66" s="202" t="n"/>
      <c r="R66" s="138" t="n">
        <v>62350099</v>
      </c>
      <c r="S66" s="103" t="inlineStr">
        <is>
          <t>電腦out charge</t>
        </is>
      </c>
      <c r="T66" s="216">
        <f>SUMIF($S$4:$S$10,$R66,$U$4:$U$10)+SUMIF($S$16:$S$22,$R66,$U$16:$U$22)+SUMIF($S$31:$S$33,$R66,$U$31:$U$33)+SUMIF($S$42:$S$46,$R66,$U$42:$U$46)</f>
        <v/>
      </c>
      <c r="U66" s="201" t="n"/>
      <c r="V66" s="202" t="n"/>
      <c r="W66" s="79" t="n"/>
      <c r="X66" s="79" t="n"/>
      <c r="Y66" s="79" t="n"/>
      <c r="Z66" s="79" t="n"/>
    </row>
    <row r="67">
      <c r="A67" s="199" t="n"/>
      <c r="B67" s="200" t="n"/>
      <c r="C67" s="102" t="inlineStr">
        <is>
          <t>63xxxxxx</t>
        </is>
      </c>
      <c r="D67" s="103" t="inlineStr">
        <is>
          <t>工程費用</t>
        </is>
      </c>
      <c r="E67" s="124">
        <f>SUMIF($D$4:$D$10,$C67,$F$4:$F$10)+SUMIF($D$16:$D$22,$C67,$F$16:$F$22)+SUMIF($D$31:$D$33,$C67,$F$31:$F$33)+SUMIF($D$42:$D$46,$C67,$F$42:$F$46)</f>
        <v/>
      </c>
      <c r="F67" s="201" t="n"/>
      <c r="G67" s="202" t="n"/>
      <c r="H67" s="138" t="inlineStr">
        <is>
          <t>63xxxxxx</t>
        </is>
      </c>
      <c r="I67" s="103" t="inlineStr">
        <is>
          <t>工程費用</t>
        </is>
      </c>
      <c r="J67" s="124">
        <f>SUMIF($I$4:$I$10,$H67,$K$4:$K$10)+SUMIF($I$16:$I$22,$H67,$K$16:$K$22)+SUMIF($I$31:$I$33,$H67,$K$31:$K$33)+SUMIF($I$42:$I$46,$H67,$K$42:$K$46)</f>
        <v/>
      </c>
      <c r="K67" s="201" t="n"/>
      <c r="L67" s="202" t="n"/>
      <c r="M67" s="138" t="inlineStr">
        <is>
          <t>63xxxxxx</t>
        </is>
      </c>
      <c r="N67" s="103" t="inlineStr">
        <is>
          <t>工程費用</t>
        </is>
      </c>
      <c r="O67" s="124">
        <f>SUMIF($N$4:$N$10,$M67,$P$4:$P$10)+SUMIF($N$16:$N$22,$M67,$P$16:$P$22)+SUMIF($N$31:$N$33,$M67,$P$31:$P$33)+SUMIF($N$42:$N$46,$M67,$P$42:$P$46)</f>
        <v/>
      </c>
      <c r="P67" s="201" t="n"/>
      <c r="Q67" s="202" t="n"/>
      <c r="R67" s="138" t="inlineStr">
        <is>
          <t>63xxxxxx</t>
        </is>
      </c>
      <c r="S67" s="103" t="inlineStr">
        <is>
          <t>工程費用</t>
        </is>
      </c>
      <c r="T67" s="124">
        <f>SUMIF($S$4:$S$10,$R67,$U$4:$U$10)+SUMIF($S$16:$S$22,$R67,$U$16:$U$22)+SUMIF($S$31:$S$33,$R67,$U$31:$U$33)+SUMIF($S$42:$S$46,$R67,$U$42:$U$46)</f>
        <v/>
      </c>
      <c r="U67" s="201" t="n"/>
      <c r="V67" s="202" t="n"/>
      <c r="W67" s="79" t="n"/>
      <c r="X67" s="79" t="n"/>
      <c r="Y67" s="79" t="n"/>
      <c r="Z67" s="79" t="n"/>
    </row>
    <row r="68" ht="16.2" customHeight="1" s="186" thickBot="1">
      <c r="A68" s="207" t="n"/>
      <c r="B68" s="208" t="n"/>
      <c r="C68" s="107" t="n">
        <v>63810030</v>
      </c>
      <c r="D68" s="108" t="inlineStr">
        <is>
          <t>工程費用轉在建工程</t>
        </is>
      </c>
      <c r="E68" s="125">
        <f>SUMIF($D$4:$D$10,$C68,$F$4:$F$10)+SUMIF($D$16:$D$22,$C68,$F$16:$F$22)+SUMIF($D$31:$D$33,$C68,$F$31:$F$33)+SUMIF($D$42:$D$46,$C68,$F$42:$F$46)</f>
        <v/>
      </c>
      <c r="F68" s="209" t="n"/>
      <c r="G68" s="210" t="n"/>
      <c r="H68" s="139" t="n">
        <v>63810030</v>
      </c>
      <c r="I68" s="108" t="inlineStr">
        <is>
          <t>工程費用轉在建工程</t>
        </is>
      </c>
      <c r="J68" s="125">
        <f>SUMIF($I$4:$I$10,$H68,$K$4:$K$10)+SUMIF($I$16:$I$22,$H68,$K$16:$K$22)+SUMIF($I$31:$I$33,$H68,$K$31:$K$33)+SUMIF($I$42:$I$46,$H68,$K$42:$K$46)</f>
        <v/>
      </c>
      <c r="K68" s="209" t="n"/>
      <c r="L68" s="210" t="n"/>
      <c r="M68" s="139" t="n">
        <v>63810030</v>
      </c>
      <c r="N68" s="108" t="inlineStr">
        <is>
          <t>工程費用轉在建工程</t>
        </is>
      </c>
      <c r="O68" s="125">
        <f>SUMIF($N$4:$N$10,$M68,$P$4:$P$10)+SUMIF($N$16:$N$22,$M68,$P$16:$P$22)+SUMIF($N$31:$N$33,$M68,$P$31:$P$33)+SUMIF($N$42:$N$46,$M68,$P$42:$P$46)</f>
        <v/>
      </c>
      <c r="P68" s="209" t="n"/>
      <c r="Q68" s="210" t="n"/>
      <c r="R68" s="139" t="n">
        <v>63810030</v>
      </c>
      <c r="S68" s="108" t="inlineStr">
        <is>
          <t>工程費用轉在建工程</t>
        </is>
      </c>
      <c r="T68" s="125">
        <f>SUMIF($S$4:$S$10,$R68,$U$4:$U$10)+SUMIF($S$16:$S$22,$R68,$U$16:$U$22)+SUMIF($S$31:$S$33,$R68,$U$31:$U$33)+SUMIF($S$42:$S$46,$R68,$U$42:$U$46)</f>
        <v/>
      </c>
      <c r="U68" s="209" t="n"/>
      <c r="V68" s="210" t="n"/>
      <c r="W68" s="79" t="n"/>
      <c r="X68" s="79" t="n"/>
      <c r="Y68" s="79" t="n"/>
      <c r="Z68" s="79" t="n"/>
    </row>
    <row r="69">
      <c r="A69" s="28" t="n"/>
      <c r="B69" s="29" t="n"/>
      <c r="C69" s="30" t="n"/>
      <c r="D69" s="31" t="inlineStr">
        <is>
          <t>check</t>
        </is>
      </c>
      <c r="E69" s="211">
        <f>SUM(E50:E68)</f>
        <v/>
      </c>
      <c r="F69" s="211">
        <f>SUM(F50:F68)</f>
        <v/>
      </c>
      <c r="G69" s="28" t="n"/>
      <c r="H69" s="79" t="n"/>
      <c r="J69" s="211">
        <f>SUM(J50:J68)</f>
        <v/>
      </c>
      <c r="K69" s="211">
        <f>SUM(K50:K68)</f>
        <v/>
      </c>
      <c r="O69" s="211">
        <f>SUM(O50:O68)</f>
        <v/>
      </c>
      <c r="P69" s="211">
        <f>SUM(P50:P68)</f>
        <v/>
      </c>
      <c r="T69" s="211">
        <f>SUM(T50:T68)</f>
        <v/>
      </c>
      <c r="U69" s="211">
        <f>SUM(U50:U68)</f>
        <v/>
      </c>
      <c r="W69" s="79" t="n"/>
      <c r="X69" s="79" t="n"/>
      <c r="Y69" s="79" t="n"/>
      <c r="Z69" s="79" t="n"/>
    </row>
    <row r="70">
      <c r="W70" s="79" t="n"/>
      <c r="X70" s="79" t="n"/>
      <c r="Y70" s="79" t="n"/>
      <c r="Z70" s="79" t="n"/>
    </row>
    <row r="72" ht="16.2" customHeight="1" s="186" thickBot="1"/>
    <row r="73" ht="16.2" customHeight="1" s="186" thickTop="1">
      <c r="C73" s="2" t="inlineStr">
        <is>
          <t>假設:</t>
        </is>
      </c>
      <c r="D73" s="11" t="n"/>
      <c r="E73" s="12" t="n"/>
    </row>
    <row r="74">
      <c r="C74" s="15" t="n"/>
      <c r="D74" s="3" t="inlineStr">
        <is>
          <t>合約總價</t>
        </is>
      </c>
      <c r="E74" s="16" t="n">
        <v>1000</v>
      </c>
    </row>
    <row r="75">
      <c r="C75" s="15" t="n"/>
      <c r="D75" s="3" t="inlineStr">
        <is>
          <t>預估完工總成本</t>
        </is>
      </c>
      <c r="E75" s="19" t="n">
        <v>950</v>
      </c>
    </row>
    <row r="76">
      <c r="C76" s="15" t="n"/>
      <c r="D76" s="3" t="inlineStr">
        <is>
          <t>預估毛利</t>
        </is>
      </c>
      <c r="E76" s="185">
        <f>E74-E75</f>
        <v/>
      </c>
    </row>
    <row r="77">
      <c r="C77" s="15" t="n"/>
      <c r="D77" s="3" t="inlineStr">
        <is>
          <t>預估毛利率</t>
        </is>
      </c>
      <c r="E77" s="22">
        <f>E76/E74</f>
        <v/>
      </c>
    </row>
    <row r="78">
      <c r="C78" s="15" t="n"/>
      <c r="D78" s="3" t="n"/>
      <c r="E78" s="21" t="n"/>
    </row>
    <row r="79">
      <c r="C79" s="15" t="n"/>
      <c r="D79" s="3" t="inlineStr">
        <is>
          <t>本月投入成本</t>
        </is>
      </c>
      <c r="E79" s="25" t="n">
        <v>100</v>
      </c>
    </row>
    <row r="80">
      <c r="C80" s="15" t="n"/>
      <c r="D80" s="3" t="inlineStr">
        <is>
          <t>本月開立發票(未稅)</t>
        </is>
      </c>
      <c r="E80" s="26" t="n">
        <v>120</v>
      </c>
    </row>
    <row r="81">
      <c r="C81" s="15" t="n"/>
      <c r="D81" s="3" t="n"/>
      <c r="E81" s="21" t="n"/>
    </row>
    <row r="82" ht="16.2" customHeight="1" s="186" thickBot="1">
      <c r="C82" s="27" t="n"/>
      <c r="D82" s="4" t="inlineStr">
        <is>
          <t>完工百分比</t>
        </is>
      </c>
      <c r="E82" s="184">
        <f>E79/E75</f>
        <v/>
      </c>
    </row>
    <row r="83" ht="16.2" customHeight="1" s="186" thickTop="1"/>
  </sheetData>
  <mergeCells count="25">
    <mergeCell ref="Q58:Q68"/>
    <mergeCell ref="L50:L52"/>
    <mergeCell ref="B58:B68"/>
    <mergeCell ref="B50:B57"/>
    <mergeCell ref="L58:L68"/>
    <mergeCell ref="V50:V52"/>
    <mergeCell ref="G50:G52"/>
    <mergeCell ref="M2:Q2"/>
    <mergeCell ref="K58:K68"/>
    <mergeCell ref="G58:G68"/>
    <mergeCell ref="A50:A68"/>
    <mergeCell ref="U50:U52"/>
    <mergeCell ref="U58:U68"/>
    <mergeCell ref="H2:L2"/>
    <mergeCell ref="P50:P52"/>
    <mergeCell ref="F58:F68"/>
    <mergeCell ref="C2:G2"/>
    <mergeCell ref="M1:V1"/>
    <mergeCell ref="C1:L1"/>
    <mergeCell ref="P58:P68"/>
    <mergeCell ref="K50:K52"/>
    <mergeCell ref="R2:V2"/>
    <mergeCell ref="V58:V68"/>
    <mergeCell ref="Q50:Q52"/>
    <mergeCell ref="F50:F52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46" customWidth="1" style="186" min="1" max="1"/>
    <col width="14" customWidth="1" style="186" min="2" max="2"/>
    <col width="14" customWidth="1" style="186" min="3" max="3"/>
    <col width="14" customWidth="1" style="186" min="4" max="4"/>
    <col width="14" customWidth="1" style="186" min="5" max="5"/>
  </cols>
  <sheetData>
    <row r="1">
      <c r="A1" s="212" t="inlineStr">
        <is>
          <t>A. 每筆分錄借貸差（應為0）</t>
        </is>
      </c>
      <c r="G1" s="212" t="inlineStr">
        <is>
          <t>輔助：主表每列（非BIM列記為空）</t>
        </is>
      </c>
    </row>
    <row r="2">
      <c r="A2" s="0" t="inlineStr">
        <is>
          <t>分錄</t>
        </is>
      </c>
      <c r="B2" s="212" t="inlineStr">
        <is>
          <t>內案POC</t>
        </is>
      </c>
      <c r="C2" s="212" t="inlineStr">
        <is>
          <t>外案POC</t>
        </is>
      </c>
      <c r="D2" s="212" t="inlineStr">
        <is>
          <t>雜項</t>
        </is>
      </c>
      <c r="E2" s="212" t="inlineStr">
        <is>
          <t>備標</t>
        </is>
      </c>
    </row>
    <row r="3">
      <c r="A3" s="0" t="inlineStr">
        <is>
          <t>1 費用入帳（第4-6列）</t>
        </is>
      </c>
      <c r="B3" s="213">
        <f>ROUND(SUM('工作表1'!F4:F6),6)</f>
        <v/>
      </c>
      <c r="C3" s="213">
        <f>ROUND(SUM('工作表1'!K4:K6),6)</f>
        <v/>
      </c>
      <c r="D3" s="213">
        <f>ROUND(SUM('工作表1'!P4:P6),6)</f>
        <v/>
      </c>
      <c r="E3" s="213">
        <f>ROUND(SUM('工作表1'!U4:U6),6)</f>
        <v/>
      </c>
      <c r="H3" s="0" t="inlineStr">
        <is>
          <t>內案POC類別</t>
        </is>
      </c>
      <c r="I3" s="0" t="inlineStr">
        <is>
          <t>內案POC金額</t>
        </is>
      </c>
      <c r="J3" s="0" t="inlineStr">
        <is>
          <t>內案POC未入總結</t>
        </is>
      </c>
      <c r="K3" s="0" t="inlineStr">
        <is>
          <t>外案POC類別</t>
        </is>
      </c>
      <c r="L3" s="0" t="inlineStr">
        <is>
          <t>外案POC金額</t>
        </is>
      </c>
      <c r="M3" s="0" t="inlineStr">
        <is>
          <t>外案POC未入總結</t>
        </is>
      </c>
      <c r="N3" s="0" t="inlineStr">
        <is>
          <t>雜項類別</t>
        </is>
      </c>
      <c r="O3" s="0" t="inlineStr">
        <is>
          <t>雜項金額</t>
        </is>
      </c>
      <c r="P3" s="0" t="inlineStr">
        <is>
          <t>雜項未入總結</t>
        </is>
      </c>
      <c r="Q3" s="0" t="inlineStr">
        <is>
          <t>備標類別</t>
        </is>
      </c>
      <c r="R3" s="0" t="inlineStr">
        <is>
          <t>備標金額</t>
        </is>
      </c>
      <c r="S3" s="0" t="inlineStr">
        <is>
          <t>備標未入總結</t>
        </is>
      </c>
    </row>
    <row r="4">
      <c r="A4" s="0" t="inlineStr">
        <is>
          <t>2 費用轉列成本（第8-10列）</t>
        </is>
      </c>
      <c r="B4" s="213">
        <f>ROUND(SUM('工作表1'!F8:F10),6)</f>
        <v/>
      </c>
      <c r="C4" s="213">
        <f>ROUND(SUM('工作表1'!K8:K10),6)</f>
        <v/>
      </c>
      <c r="D4" s="213">
        <f>ROUND(SUM('工作表1'!P8:P10),6)</f>
        <v/>
      </c>
      <c r="E4" s="213">
        <f>ROUND(SUM('工作表1'!U8:U10),6)</f>
        <v/>
      </c>
      <c r="H4" s="0">
        <f>IF('工作表1'!D4="","",LEFT('工作表1'!D4,1))</f>
        <v/>
      </c>
      <c r="I4" s="0">
        <f>IF(ISNUMBER('工作表1'!F4),'工作表1'!F4,0)</f>
        <v/>
      </c>
      <c r="J4" s="0">
        <f>IF('工作表1'!D4="",0,IF(COUNTIF('工作表1'!$C$50:$C$68,'工作表1'!D4)&gt;0,0,1))</f>
        <v/>
      </c>
      <c r="K4" s="0">
        <f>IF('工作表1'!I4="","",LEFT('工作表1'!I4,1))</f>
        <v/>
      </c>
      <c r="L4" s="0">
        <f>IF(ISNUMBER('工作表1'!K4),'工作表1'!K4,0)</f>
        <v/>
      </c>
      <c r="M4" s="0">
        <f>IF('工作表1'!I4="",0,IF(COUNTIF('工作表1'!$H$50:$H$68,'工作表1'!I4)&gt;0,0,1))</f>
        <v/>
      </c>
      <c r="N4" s="0">
        <f>IF('工作表1'!N4="","",LEFT('工作表1'!N4,1))</f>
        <v/>
      </c>
      <c r="O4" s="0">
        <f>IF(ISNUMBER('工作表1'!P4),'工作表1'!P4,0)</f>
        <v/>
      </c>
      <c r="P4" s="0">
        <f>IF('工作表1'!N4="",0,IF(COUNTIF('工作表1'!$M$50:$M$68,'工作表1'!N4)&gt;0,0,1))</f>
        <v/>
      </c>
      <c r="Q4" s="0">
        <f>IF('工作表1'!S4="","",LEFT('工作表1'!S4,1))</f>
        <v/>
      </c>
      <c r="R4" s="0">
        <f>IF(ISNUMBER('工作表1'!U4),'工作表1'!U4,0)</f>
        <v/>
      </c>
      <c r="S4" s="0">
        <f>IF('工作表1'!S4="",0,IF(COUNTIF('工作表1'!$R$50:$R$68,'工作表1'!S4)&gt;0,0,1))</f>
        <v/>
      </c>
    </row>
    <row r="5">
      <c r="A5" s="0" t="inlineStr">
        <is>
          <t>2 ELIA(備標)（第12-15列）</t>
        </is>
      </c>
      <c r="B5" s="213">
        <f>ROUND(SUM('工作表1'!F12:F15),6)</f>
        <v/>
      </c>
      <c r="C5" s="213">
        <f>ROUND(SUM('工作表1'!K12:K15),6)</f>
        <v/>
      </c>
      <c r="D5" s="213">
        <f>ROUND(SUM('工作表1'!P12:P15),6)</f>
        <v/>
      </c>
      <c r="E5" s="213">
        <f>ROUND(SUM('工作表1'!U12:U15),6)</f>
        <v/>
      </c>
      <c r="H5" s="0">
        <f>IF('工作表1'!D5="","",LEFT('工作表1'!D5,1))</f>
        <v/>
      </c>
      <c r="I5" s="0">
        <f>IF(ISNUMBER('工作表1'!F5),'工作表1'!F5,0)</f>
        <v/>
      </c>
      <c r="J5" s="0">
        <f>IF('工作表1'!D5="",0,IF(COUNTIF('工作表1'!$C$50:$C$68,'工作表1'!D5)&gt;0,0,1))</f>
        <v/>
      </c>
      <c r="K5" s="0">
        <f>IF('工作表1'!I5="","",LEFT('工作表1'!I5,1))</f>
        <v/>
      </c>
      <c r="L5" s="0">
        <f>IF(ISNUMBER('工作表1'!K5),'工作表1'!K5,0)</f>
        <v/>
      </c>
      <c r="M5" s="0">
        <f>IF('工作表1'!I5="",0,IF(COUNTIF('工作表1'!$H$50:$H$68,'工作表1'!I5)&gt;0,0,1))</f>
        <v/>
      </c>
      <c r="N5" s="0">
        <f>IF('工作表1'!N5="","",LEFT('工作表1'!N5,1))</f>
        <v/>
      </c>
      <c r="O5" s="0">
        <f>IF(ISNUMBER('工作表1'!P5),'工作表1'!P5,0)</f>
        <v/>
      </c>
      <c r="P5" s="0">
        <f>IF('工作表1'!N5="",0,IF(COUNTIF('工作表1'!$M$50:$M$68,'工作表1'!N5)&gt;0,0,1))</f>
        <v/>
      </c>
      <c r="Q5" s="0">
        <f>IF('工作表1'!S5="","",LEFT('工作表1'!S5,1))</f>
        <v/>
      </c>
      <c r="R5" s="0">
        <f>IF(ISNUMBER('工作表1'!U5),'工作表1'!U5,0)</f>
        <v/>
      </c>
      <c r="S5" s="0">
        <f>IF('工作表1'!S5="",0,IF(COUNTIF('工作表1'!$R$50:$R$68,'工作表1'!S5)&gt;0,0,1))</f>
        <v/>
      </c>
    </row>
    <row r="6">
      <c r="A6" s="0" t="inlineStr">
        <is>
          <t>3 月底結轉在建（第16-17列）</t>
        </is>
      </c>
      <c r="B6" s="213">
        <f>ROUND(SUM('工作表1'!F16:F17),6)</f>
        <v/>
      </c>
      <c r="C6" s="213">
        <f>ROUND(SUM('工作表1'!K16:K17),6)</f>
        <v/>
      </c>
      <c r="D6" s="213">
        <f>ROUND(SUM('工作表1'!P16:P17),6)</f>
        <v/>
      </c>
      <c r="E6" s="213">
        <f>ROUND(SUM('工作表1'!U16:U17),6)</f>
        <v/>
      </c>
      <c r="H6" s="0">
        <f>IF('工作表1'!D6="","",LEFT('工作表1'!D6,1))</f>
        <v/>
      </c>
      <c r="I6" s="0">
        <f>IF(ISNUMBER('工作表1'!F6),'工作表1'!F6,0)</f>
        <v/>
      </c>
      <c r="J6" s="0">
        <f>IF('工作表1'!D6="",0,IF(COUNTIF('工作表1'!$C$50:$C$68,'工作表1'!D6)&gt;0,0,1))</f>
        <v/>
      </c>
      <c r="K6" s="0">
        <f>IF('工作表1'!I6="","",LEFT('工作表1'!I6,1))</f>
        <v/>
      </c>
      <c r="L6" s="0">
        <f>IF(ISNUMBER('工作表1'!K6),'工作表1'!K6,0)</f>
        <v/>
      </c>
      <c r="M6" s="0">
        <f>IF('工作表1'!I6="",0,IF(COUNTIF('工作表1'!$H$50:$H$68,'工作表1'!I6)&gt;0,0,1))</f>
        <v/>
      </c>
      <c r="N6" s="0">
        <f>IF('工作表1'!N6="","",LEFT('工作表1'!N6,1))</f>
        <v/>
      </c>
      <c r="O6" s="0">
        <f>IF(ISNUMBER('工作表1'!P6),'工作表1'!P6,0)</f>
        <v/>
      </c>
      <c r="P6" s="0">
        <f>IF('工作表1'!N6="",0,IF(COUNTIF('工作表1'!$M$50:$M$68,'工作表1'!N6)&gt;0,0,1))</f>
        <v/>
      </c>
      <c r="Q6" s="0">
        <f>IF('工作表1'!S6="","",LEFT('工作表1'!S6,1))</f>
        <v/>
      </c>
      <c r="R6" s="0">
        <f>IF(ISNUMBER('工作表1'!U6),'工作表1'!U6,0)</f>
        <v/>
      </c>
      <c r="S6" s="0">
        <f>IF('工作表1'!S6="",0,IF(COUNTIF('工作表1'!$R$50:$R$68,'工作表1'!S6)&gt;0,0,1))</f>
        <v/>
      </c>
    </row>
    <row r="7">
      <c r="A7" s="0" t="inlineStr">
        <is>
          <t>4 完工百分比認列（第20-22列）</t>
        </is>
      </c>
      <c r="B7" s="213">
        <f>ROUND(SUM('工作表1'!F20:F22),6)</f>
        <v/>
      </c>
      <c r="C7" s="213">
        <f>ROUND(SUM('工作表1'!K20:K22),6)</f>
        <v/>
      </c>
      <c r="D7" s="213">
        <f>ROUND(SUM('工作表1'!P20:P22),6)</f>
        <v/>
      </c>
      <c r="E7" s="213">
        <f>ROUND(SUM('工作表1'!U20:U22),6)</f>
        <v/>
      </c>
      <c r="H7" s="0">
        <f>IF('工作表1'!D7="","",LEFT('工作表1'!D7,1))</f>
        <v/>
      </c>
      <c r="I7" s="0">
        <f>IF(ISNUMBER('工作表1'!F7),'工作表1'!F7,0)</f>
        <v/>
      </c>
      <c r="J7" s="0">
        <f>IF('工作表1'!D7="",0,IF(COUNTIF('工作表1'!$C$50:$C$68,'工作表1'!D7)&gt;0,0,1))</f>
        <v/>
      </c>
      <c r="K7" s="0">
        <f>IF('工作表1'!I7="","",LEFT('工作表1'!I7,1))</f>
        <v/>
      </c>
      <c r="L7" s="0">
        <f>IF(ISNUMBER('工作表1'!K7),'工作表1'!K7,0)</f>
        <v/>
      </c>
      <c r="M7" s="0">
        <f>IF('工作表1'!I7="",0,IF(COUNTIF('工作表1'!$H$50:$H$68,'工作表1'!I7)&gt;0,0,1))</f>
        <v/>
      </c>
      <c r="N7" s="0">
        <f>IF('工作表1'!N7="","",LEFT('工作表1'!N7,1))</f>
        <v/>
      </c>
      <c r="O7" s="0">
        <f>IF(ISNUMBER('工作表1'!P7),'工作表1'!P7,0)</f>
        <v/>
      </c>
      <c r="P7" s="0">
        <f>IF('工作表1'!N7="",0,IF(COUNTIF('工作表1'!$M$50:$M$68,'工作表1'!N7)&gt;0,0,1))</f>
        <v/>
      </c>
      <c r="Q7" s="0">
        <f>IF('工作表1'!S7="","",LEFT('工作表1'!S7,1))</f>
        <v/>
      </c>
      <c r="R7" s="0">
        <f>IF(ISNUMBER('工作表1'!U7),'工作表1'!U7,0)</f>
        <v/>
      </c>
      <c r="S7" s="0">
        <f>IF('工作表1'!S7="",0,IF(COUNTIF('工作表1'!$R$50:$R$68,'工作表1'!S7)&gt;0,0,1))</f>
        <v/>
      </c>
    </row>
    <row r="8">
      <c r="A8" s="0" t="inlineStr">
        <is>
          <t>4 ELIA（第24-26列）</t>
        </is>
      </c>
      <c r="B8" s="213">
        <f>ROUND(SUM('工作表1'!F24:F26),6)</f>
        <v/>
      </c>
      <c r="C8" s="213">
        <f>ROUND(SUM('工作表1'!K24:K26),6)</f>
        <v/>
      </c>
      <c r="D8" s="213">
        <f>ROUND(SUM('工作表1'!P24:P26),6)</f>
        <v/>
      </c>
      <c r="E8" s="213">
        <f>ROUND(SUM('工作表1'!U24:U26),6)</f>
        <v/>
      </c>
      <c r="H8" s="0">
        <f>IF('工作表1'!D8="","",LEFT('工作表1'!D8,1))</f>
        <v/>
      </c>
      <c r="I8" s="0">
        <f>IF(ISNUMBER('工作表1'!F8),'工作表1'!F8,0)</f>
        <v/>
      </c>
      <c r="J8" s="0">
        <f>IF('工作表1'!D8="",0,IF(COUNTIF('工作表1'!$C$50:$C$68,'工作表1'!D8)&gt;0,0,1))</f>
        <v/>
      </c>
      <c r="K8" s="0">
        <f>IF('工作表1'!I8="","",LEFT('工作表1'!I8,1))</f>
        <v/>
      </c>
      <c r="L8" s="0">
        <f>IF(ISNUMBER('工作表1'!K8),'工作表1'!K8,0)</f>
        <v/>
      </c>
      <c r="M8" s="0">
        <f>IF('工作表1'!I8="",0,IF(COUNTIF('工作表1'!$H$50:$H$68,'工作表1'!I8)&gt;0,0,1))</f>
        <v/>
      </c>
      <c r="N8" s="0">
        <f>IF('工作表1'!N8="","",LEFT('工作表1'!N8,1))</f>
        <v/>
      </c>
      <c r="O8" s="0">
        <f>IF(ISNUMBER('工作表1'!P8),'工作表1'!P8,0)</f>
        <v/>
      </c>
      <c r="P8" s="0">
        <f>IF('工作表1'!N8="",0,IF(COUNTIF('工作表1'!$M$50:$M$68,'工作表1'!N8)&gt;0,0,1))</f>
        <v/>
      </c>
      <c r="Q8" s="0">
        <f>IF('工作表1'!S8="","",LEFT('工作表1'!S8,1))</f>
        <v/>
      </c>
      <c r="R8" s="0">
        <f>IF(ISNUMBER('工作表1'!U8),'工作表1'!U8,0)</f>
        <v/>
      </c>
      <c r="S8" s="0">
        <f>IF('工作表1'!S8="",0,IF(COUNTIF('工作表1'!$R$50:$R$68,'工作表1'!S8)&gt;0,0,1))</f>
        <v/>
      </c>
    </row>
    <row r="9">
      <c r="A9" s="0" t="inlineStr">
        <is>
          <t>5 開立發票（第31-33列）</t>
        </is>
      </c>
      <c r="B9" s="213">
        <f>ROUND(SUM('工作表1'!F31:F33),6)</f>
        <v/>
      </c>
      <c r="C9" s="213">
        <f>ROUND(SUM('工作表1'!K31:K33),6)</f>
        <v/>
      </c>
      <c r="D9" s="213">
        <f>ROUND(SUM('工作表1'!P31:P33),6)</f>
        <v/>
      </c>
      <c r="E9" s="213">
        <f>ROUND(SUM('工作表1'!U31:U33),6)</f>
        <v/>
      </c>
      <c r="H9" s="0">
        <f>IF('工作表1'!D9="","",LEFT('工作表1'!D9,1))</f>
        <v/>
      </c>
      <c r="I9" s="0">
        <f>IF(ISNUMBER('工作表1'!F9),'工作表1'!F9,0)</f>
        <v/>
      </c>
      <c r="J9" s="0">
        <f>IF('工作表1'!D9="",0,IF(COUNTIF('工作表1'!$C$50:$C$68,'工作表1'!D9)&gt;0,0,1))</f>
        <v/>
      </c>
      <c r="K9" s="0">
        <f>IF('工作表1'!I9="","",LEFT('工作表1'!I9,1))</f>
        <v/>
      </c>
      <c r="L9" s="0">
        <f>IF(ISNUMBER('工作表1'!K9),'工作表1'!K9,0)</f>
        <v/>
      </c>
      <c r="M9" s="0">
        <f>IF('工作表1'!I9="",0,IF(COUNTIF('工作表1'!$H$50:$H$68,'工作表1'!I9)&gt;0,0,1))</f>
        <v/>
      </c>
      <c r="N9" s="0">
        <f>IF('工作表1'!N9="","",LEFT('工作表1'!N9,1))</f>
        <v/>
      </c>
      <c r="O9" s="0">
        <f>IF(ISNUMBER('工作表1'!P9),'工作表1'!P9,0)</f>
        <v/>
      </c>
      <c r="P9" s="0">
        <f>IF('工作表1'!N9="",0,IF(COUNTIF('工作表1'!$M$50:$M$68,'工作表1'!N9)&gt;0,0,1))</f>
        <v/>
      </c>
      <c r="Q9" s="0">
        <f>IF('工作表1'!S9="","",LEFT('工作表1'!S9,1))</f>
        <v/>
      </c>
      <c r="R9" s="0">
        <f>IF(ISNUMBER('工作表1'!U9),'工作表1'!U9,0)</f>
        <v/>
      </c>
      <c r="S9" s="0">
        <f>IF('工作表1'!S9="",0,IF(COUNTIF('工作表1'!$R$50:$R$68,'工作表1'!S9)&gt;0,0,1))</f>
        <v/>
      </c>
    </row>
    <row r="10">
      <c r="A10" s="0" t="inlineStr">
        <is>
          <t>5 TBU認列成本（第35-36列）</t>
        </is>
      </c>
      <c r="B10" s="213">
        <f>ROUND(SUM('工作表1'!F35:F36),6)</f>
        <v/>
      </c>
      <c r="C10" s="213">
        <f>ROUND(SUM('工作表1'!K35:K36),6)</f>
        <v/>
      </c>
      <c r="D10" s="213">
        <f>ROUND(SUM('工作表1'!P35:P36),6)</f>
        <v/>
      </c>
      <c r="E10" s="213">
        <f>ROUND(SUM('工作表1'!U35:U36),6)</f>
        <v/>
      </c>
      <c r="H10" s="0">
        <f>IF('工作表1'!D10="","",LEFT('工作表1'!D10,1))</f>
        <v/>
      </c>
      <c r="I10" s="0">
        <f>IF(ISNUMBER('工作表1'!F10),'工作表1'!F10,0)</f>
        <v/>
      </c>
      <c r="J10" s="0">
        <f>IF('工作表1'!D10="",0,IF(COUNTIF('工作表1'!$C$50:$C$68,'工作表1'!D10)&gt;0,0,1))</f>
        <v/>
      </c>
      <c r="K10" s="0">
        <f>IF('工作表1'!I10="","",LEFT('工作表1'!I10,1))</f>
        <v/>
      </c>
      <c r="L10" s="0">
        <f>IF(ISNUMBER('工作表1'!K10),'工作表1'!K10,0)</f>
        <v/>
      </c>
      <c r="M10" s="0">
        <f>IF('工作表1'!I10="",0,IF(COUNTIF('工作表1'!$H$50:$H$68,'工作表1'!I10)&gt;0,0,1))</f>
        <v/>
      </c>
      <c r="N10" s="0">
        <f>IF('工作表1'!N10="","",LEFT('工作表1'!N10,1))</f>
        <v/>
      </c>
      <c r="O10" s="0">
        <f>IF(ISNUMBER('工作表1'!P10),'工作表1'!P10,0)</f>
        <v/>
      </c>
      <c r="P10" s="0">
        <f>IF('工作表1'!N10="",0,IF(COUNTIF('工作表1'!$M$50:$M$68,'工作表1'!N10)&gt;0,0,1))</f>
        <v/>
      </c>
      <c r="Q10" s="0">
        <f>IF('工作表1'!S10="","",LEFT('工作表1'!S10,1))</f>
        <v/>
      </c>
      <c r="R10" s="0">
        <f>IF(ISNUMBER('工作表1'!U10),'工作表1'!U10,0)</f>
        <v/>
      </c>
      <c r="S10" s="0">
        <f>IF('工作表1'!S10="",0,IF(COUNTIF('工作表1'!$R$50:$R$68,'工作表1'!S10)&gt;0,0,1))</f>
        <v/>
      </c>
    </row>
    <row r="11">
      <c r="A11" s="0" t="inlineStr">
        <is>
          <t>5 ELIA（第38-39列）</t>
        </is>
      </c>
      <c r="B11" s="213">
        <f>ROUND(SUM('工作表1'!F38:F39),6)</f>
        <v/>
      </c>
      <c r="C11" s="213">
        <f>ROUND(SUM('工作表1'!K38:K39),6)</f>
        <v/>
      </c>
      <c r="D11" s="213">
        <f>ROUND(SUM('工作表1'!P38:P39),6)</f>
        <v/>
      </c>
      <c r="E11" s="213">
        <f>ROUND(SUM('工作表1'!U38:U39),6)</f>
        <v/>
      </c>
      <c r="H11" s="0" t="inlineStr"/>
      <c r="I11" s="0" t="n">
        <v>0</v>
      </c>
      <c r="J11" s="0" t="n">
        <v>0</v>
      </c>
      <c r="K11" s="0" t="inlineStr"/>
      <c r="L11" s="0" t="n">
        <v>0</v>
      </c>
      <c r="M11" s="0" t="n">
        <v>0</v>
      </c>
      <c r="N11" s="0" t="inlineStr"/>
      <c r="O11" s="0" t="n">
        <v>0</v>
      </c>
      <c r="P11" s="0" t="n">
        <v>0</v>
      </c>
      <c r="Q11" s="0" t="inlineStr"/>
      <c r="R11" s="0" t="n">
        <v>0</v>
      </c>
      <c r="S11" s="0" t="n">
        <v>0</v>
      </c>
    </row>
    <row r="12">
      <c r="A12" s="0" t="inlineStr">
        <is>
          <t>6 支付AP（第42-43列）</t>
        </is>
      </c>
      <c r="B12" s="213">
        <f>ROUND(SUM('工作表1'!F42:F43),6)</f>
        <v/>
      </c>
      <c r="C12" s="213">
        <f>ROUND(SUM('工作表1'!K42:K43),6)</f>
        <v/>
      </c>
      <c r="D12" s="213">
        <f>ROUND(SUM('工作表1'!P42:P43),6)</f>
        <v/>
      </c>
      <c r="E12" s="213">
        <f>ROUND(SUM('工作表1'!U42:U43),6)</f>
        <v/>
      </c>
      <c r="H12" s="0" t="inlineStr"/>
      <c r="I12" s="0" t="n">
        <v>0</v>
      </c>
      <c r="J12" s="0" t="n">
        <v>0</v>
      </c>
      <c r="K12" s="0" t="inlineStr"/>
      <c r="L12" s="0" t="n">
        <v>0</v>
      </c>
      <c r="M12" s="0" t="n">
        <v>0</v>
      </c>
      <c r="N12" s="0" t="inlineStr"/>
      <c r="O12" s="0" t="n">
        <v>0</v>
      </c>
      <c r="P12" s="0" t="n">
        <v>0</v>
      </c>
      <c r="Q12" s="0" t="inlineStr"/>
      <c r="R12" s="0" t="n">
        <v>0</v>
      </c>
      <c r="S12" s="0" t="n">
        <v>0</v>
      </c>
    </row>
    <row r="13">
      <c r="A13" s="0" t="inlineStr">
        <is>
          <t>7 收取AR（第45-46列）</t>
        </is>
      </c>
      <c r="B13" s="213">
        <f>ROUND(SUM('工作表1'!F45:F46),6)</f>
        <v/>
      </c>
      <c r="C13" s="213">
        <f>ROUND(SUM('工作表1'!K45:K46),6)</f>
        <v/>
      </c>
      <c r="D13" s="213">
        <f>ROUND(SUM('工作表1'!P45:P46),6)</f>
        <v/>
      </c>
      <c r="E13" s="213">
        <f>ROUND(SUM('工作表1'!U45:U46),6)</f>
        <v/>
      </c>
      <c r="H13" s="0" t="inlineStr"/>
      <c r="I13" s="0" t="n">
        <v>0</v>
      </c>
      <c r="J13" s="0" t="n">
        <v>0</v>
      </c>
      <c r="K13" s="0" t="inlineStr"/>
      <c r="L13" s="0" t="n">
        <v>0</v>
      </c>
      <c r="M13" s="0" t="n">
        <v>0</v>
      </c>
      <c r="N13" s="0" t="inlineStr"/>
      <c r="O13" s="0" t="n">
        <v>0</v>
      </c>
      <c r="P13" s="0" t="n">
        <v>0</v>
      </c>
      <c r="Q13" s="0" t="inlineStr"/>
      <c r="R13" s="0" t="n">
        <v>0</v>
      </c>
      <c r="S13" s="0" t="n">
        <v>0</v>
      </c>
    </row>
    <row r="14">
      <c r="A14" s="212" t="inlineStr">
        <is>
          <t>A 結果</t>
        </is>
      </c>
      <c r="B14" s="214">
        <f>IF(SUMPRODUCT(ABS(B3:B13))&lt;0.000001,"OK","不平")</f>
        <v/>
      </c>
      <c r="C14" s="214">
        <f>IF(SUMPRODUCT(ABS(C3:C13))&lt;0.000001,"OK","不平")</f>
        <v/>
      </c>
      <c r="D14" s="214">
        <f>IF(SUMPRODUCT(ABS(D3:D13))&lt;0.000001,"OK","不平")</f>
        <v/>
      </c>
      <c r="E14" s="214">
        <f>IF(SUMPRODUCT(ABS(E3:E13))&lt;0.000001,"OK","不平")</f>
        <v/>
      </c>
      <c r="H14" s="0" t="inlineStr"/>
      <c r="I14" s="0" t="n">
        <v>0</v>
      </c>
      <c r="J14" s="0" t="n">
        <v>0</v>
      </c>
      <c r="K14" s="0" t="inlineStr"/>
      <c r="L14" s="0" t="n">
        <v>0</v>
      </c>
      <c r="M14" s="0" t="n">
        <v>0</v>
      </c>
      <c r="N14" s="0" t="inlineStr"/>
      <c r="O14" s="0" t="n">
        <v>0</v>
      </c>
      <c r="P14" s="0" t="n">
        <v>0</v>
      </c>
      <c r="Q14" s="0" t="inlineStr"/>
      <c r="R14" s="0" t="n">
        <v>0</v>
      </c>
      <c r="S14" s="0" t="n">
        <v>0</v>
      </c>
    </row>
    <row r="15">
      <c r="H15" s="0" t="inlineStr"/>
      <c r="I15" s="0" t="n">
        <v>0</v>
      </c>
      <c r="J15" s="0" t="n">
        <v>0</v>
      </c>
      <c r="K15" s="0" t="inlineStr"/>
      <c r="L15" s="0" t="n">
        <v>0</v>
      </c>
      <c r="M15" s="0" t="n">
        <v>0</v>
      </c>
      <c r="N15" s="0" t="inlineStr"/>
      <c r="O15" s="0" t="n">
        <v>0</v>
      </c>
      <c r="P15" s="0" t="n">
        <v>0</v>
      </c>
      <c r="Q15" s="0" t="inlineStr"/>
      <c r="R15" s="0" t="n">
        <v>0</v>
      </c>
      <c r="S15" s="0" t="n">
        <v>0</v>
      </c>
    </row>
    <row r="16">
      <c r="A16" s="212" t="inlineStr">
        <is>
          <t>B. 期末總結 vs BIM分錄直接加總（只計BIM列；代號首碼1/2=B/S，4/5/6=P/L）</t>
        </is>
      </c>
      <c r="H16" s="0">
        <f>IF('工作表1'!D16="","",LEFT('工作表1'!D16,1))</f>
        <v/>
      </c>
      <c r="I16" s="0">
        <f>IF(ISNUMBER('工作表1'!F16),'工作表1'!F16,0)</f>
        <v/>
      </c>
      <c r="J16" s="0">
        <f>IF('工作表1'!D16="",0,IF(COUNTIF('工作表1'!$C$50:$C$68,'工作表1'!D16)&gt;0,0,1))</f>
        <v/>
      </c>
      <c r="K16" s="0">
        <f>IF('工作表1'!I16="","",LEFT('工作表1'!I16,1))</f>
        <v/>
      </c>
      <c r="L16" s="0">
        <f>IF(ISNUMBER('工作表1'!K16),'工作表1'!K16,0)</f>
        <v/>
      </c>
      <c r="M16" s="0">
        <f>IF('工作表1'!I16="",0,IF(COUNTIF('工作表1'!$H$50:$H$68,'工作表1'!I16)&gt;0,0,1))</f>
        <v/>
      </c>
      <c r="N16" s="0">
        <f>IF('工作表1'!N16="","",LEFT('工作表1'!N16,1))</f>
        <v/>
      </c>
      <c r="O16" s="0">
        <f>IF(ISNUMBER('工作表1'!P16),'工作表1'!P16,0)</f>
        <v/>
      </c>
      <c r="P16" s="0">
        <f>IF('工作表1'!N16="",0,IF(COUNTIF('工作表1'!$M$50:$M$68,'工作表1'!N16)&gt;0,0,1))</f>
        <v/>
      </c>
      <c r="Q16" s="0">
        <f>IF('工作表1'!S16="","",LEFT('工作表1'!S16,1))</f>
        <v/>
      </c>
      <c r="R16" s="0">
        <f>IF(ISNUMBER('工作表1'!U16),'工作表1'!U16,0)</f>
        <v/>
      </c>
      <c r="S16" s="0">
        <f>IF('工作表1'!S16="",0,IF(COUNTIF('工作表1'!$R$50:$R$68,'工作表1'!S16)&gt;0,0,1))</f>
        <v/>
      </c>
    </row>
    <row r="17">
      <c r="A17" s="0" t="inlineStr">
        <is>
          <t>項目</t>
        </is>
      </c>
      <c r="B17" s="212" t="inlineStr">
        <is>
          <t>內案POC</t>
        </is>
      </c>
      <c r="C17" s="212" t="inlineStr">
        <is>
          <t>外案POC</t>
        </is>
      </c>
      <c r="D17" s="212" t="inlineStr">
        <is>
          <t>雜項</t>
        </is>
      </c>
      <c r="E17" s="212" t="inlineStr">
        <is>
          <t>備標</t>
        </is>
      </c>
      <c r="H17" s="0">
        <f>IF('工作表1'!D17="","",LEFT('工作表1'!D17,1))</f>
        <v/>
      </c>
      <c r="I17" s="0">
        <f>IF(ISNUMBER('工作表1'!F17),'工作表1'!F17,0)</f>
        <v/>
      </c>
      <c r="J17" s="0">
        <f>IF('工作表1'!D17="",0,IF(COUNTIF('工作表1'!$C$50:$C$68,'工作表1'!D17)&gt;0,0,1))</f>
        <v/>
      </c>
      <c r="K17" s="0">
        <f>IF('工作表1'!I17="","",LEFT('工作表1'!I17,1))</f>
        <v/>
      </c>
      <c r="L17" s="0">
        <f>IF(ISNUMBER('工作表1'!K17),'工作表1'!K17,0)</f>
        <v/>
      </c>
      <c r="M17" s="0">
        <f>IF('工作表1'!I17="",0,IF(COUNTIF('工作表1'!$H$50:$H$68,'工作表1'!I17)&gt;0,0,1))</f>
        <v/>
      </c>
      <c r="N17" s="0">
        <f>IF('工作表1'!N17="","",LEFT('工作表1'!N17,1))</f>
        <v/>
      </c>
      <c r="O17" s="0">
        <f>IF(ISNUMBER('工作表1'!P17),'工作表1'!P17,0)</f>
        <v/>
      </c>
      <c r="P17" s="0">
        <f>IF('工作表1'!N17="",0,IF(COUNTIF('工作表1'!$M$50:$M$68,'工作表1'!N17)&gt;0,0,1))</f>
        <v/>
      </c>
      <c r="Q17" s="0">
        <f>IF('工作表1'!S17="","",LEFT('工作表1'!S17,1))</f>
        <v/>
      </c>
      <c r="R17" s="0">
        <f>IF(ISNUMBER('工作表1'!U17),'工作表1'!U17,0)</f>
        <v/>
      </c>
      <c r="S17" s="0">
        <f>IF('工作表1'!S17="",0,IF(COUNTIF('工作表1'!$R$50:$R$68,'工作表1'!S17)&gt;0,0,1))</f>
        <v/>
      </c>
    </row>
    <row r="18">
      <c r="A18" s="0" t="inlineStr">
        <is>
          <t>B/S 分錄加總</t>
        </is>
      </c>
      <c r="B18" s="215">
        <f>SUMIF($H$4:$H$47,"1",$I$4:$I$47)+SUMIF($H$4:$H$47,"2",$I$4:$I$47)</f>
        <v/>
      </c>
      <c r="C18" s="215">
        <f>SUMIF($K$4:$K$47,"1",$L$4:$L$47)+SUMIF($K$4:$K$47,"2",$L$4:$L$47)</f>
        <v/>
      </c>
      <c r="D18" s="215">
        <f>SUMIF($N$4:$N$47,"1",$O$4:$O$47)+SUMIF($N$4:$N$47,"2",$O$4:$O$47)</f>
        <v/>
      </c>
      <c r="E18" s="215">
        <f>SUMIF($Q$4:$Q$47,"1",$R$4:$R$47)+SUMIF($Q$4:$Q$47,"2",$R$4:$R$47)</f>
        <v/>
      </c>
      <c r="H18" s="0">
        <f>IF('工作表1'!D18="","",LEFT('工作表1'!D18,1))</f>
        <v/>
      </c>
      <c r="I18" s="0">
        <f>IF(ISNUMBER('工作表1'!F18),'工作表1'!F18,0)</f>
        <v/>
      </c>
      <c r="J18" s="0">
        <f>IF('工作表1'!D18="",0,IF(COUNTIF('工作表1'!$C$50:$C$68,'工作表1'!D18)&gt;0,0,1))</f>
        <v/>
      </c>
      <c r="K18" s="0">
        <f>IF('工作表1'!I18="","",LEFT('工作表1'!I18,1))</f>
        <v/>
      </c>
      <c r="L18" s="0">
        <f>IF(ISNUMBER('工作表1'!K18),'工作表1'!K18,0)</f>
        <v/>
      </c>
      <c r="M18" s="0">
        <f>IF('工作表1'!I18="",0,IF(COUNTIF('工作表1'!$H$50:$H$68,'工作表1'!I18)&gt;0,0,1))</f>
        <v/>
      </c>
      <c r="N18" s="0">
        <f>IF('工作表1'!N18="","",LEFT('工作表1'!N18,1))</f>
        <v/>
      </c>
      <c r="O18" s="0">
        <f>IF(ISNUMBER('工作表1'!P18),'工作表1'!P18,0)</f>
        <v/>
      </c>
      <c r="P18" s="0">
        <f>IF('工作表1'!N18="",0,IF(COUNTIF('工作表1'!$M$50:$M$68,'工作表1'!N18)&gt;0,0,1))</f>
        <v/>
      </c>
      <c r="Q18" s="0">
        <f>IF('工作表1'!S18="","",LEFT('工作表1'!S18,1))</f>
        <v/>
      </c>
      <c r="R18" s="0">
        <f>IF(ISNUMBER('工作表1'!U18),'工作表1'!U18,0)</f>
        <v/>
      </c>
      <c r="S18" s="0">
        <f>IF('工作表1'!S18="",0,IF(COUNTIF('工作表1'!$R$50:$R$68,'工作表1'!S18)&gt;0,0,1))</f>
        <v/>
      </c>
    </row>
    <row r="19">
      <c r="A19" s="0" t="inlineStr">
        <is>
          <t>B/S 期末總結(總計欄50+53:57)</t>
        </is>
      </c>
      <c r="B19" s="215">
        <f>'工作表1'!F50+SUM('工作表1'!F53:F57)</f>
        <v/>
      </c>
      <c r="C19" s="215">
        <f>'工作表1'!K50+SUM('工作表1'!K53:K57)</f>
        <v/>
      </c>
      <c r="D19" s="215">
        <f>'工作表1'!P50+SUM('工作表1'!P53:P57)</f>
        <v/>
      </c>
      <c r="E19" s="215">
        <f>'工作表1'!U50+SUM('工作表1'!U53:U57)</f>
        <v/>
      </c>
      <c r="H19" s="0">
        <f>IF('工作表1'!D19="","",LEFT('工作表1'!D19,1))</f>
        <v/>
      </c>
      <c r="I19" s="0">
        <f>IF(ISNUMBER('工作表1'!F19),'工作表1'!F19,0)</f>
        <v/>
      </c>
      <c r="J19" s="0">
        <f>IF('工作表1'!D19="",0,IF(COUNTIF('工作表1'!$C$50:$C$68,'工作表1'!D19)&gt;0,0,1))</f>
        <v/>
      </c>
      <c r="K19" s="0">
        <f>IF('工作表1'!I19="","",LEFT('工作表1'!I19,1))</f>
        <v/>
      </c>
      <c r="L19" s="0">
        <f>IF(ISNUMBER('工作表1'!K19),'工作表1'!K19,0)</f>
        <v/>
      </c>
      <c r="M19" s="0">
        <f>IF('工作表1'!I19="",0,IF(COUNTIF('工作表1'!$H$50:$H$68,'工作表1'!I19)&gt;0,0,1))</f>
        <v/>
      </c>
      <c r="N19" s="0">
        <f>IF('工作表1'!N19="","",LEFT('工作表1'!N19,1))</f>
        <v/>
      </c>
      <c r="O19" s="0">
        <f>IF(ISNUMBER('工作表1'!P19),'工作表1'!P19,0)</f>
        <v/>
      </c>
      <c r="P19" s="0">
        <f>IF('工作表1'!N19="",0,IF(COUNTIF('工作表1'!$M$50:$M$68,'工作表1'!N19)&gt;0,0,1))</f>
        <v/>
      </c>
      <c r="Q19" s="0">
        <f>IF('工作表1'!S19="","",LEFT('工作表1'!S19,1))</f>
        <v/>
      </c>
      <c r="R19" s="0">
        <f>IF(ISNUMBER('工作表1'!U19),'工作表1'!U19,0)</f>
        <v/>
      </c>
      <c r="S19" s="0">
        <f>IF('工作表1'!S19="",0,IF(COUNTIF('工作表1'!$R$50:$R$68,'工作表1'!S19)&gt;0,0,1))</f>
        <v/>
      </c>
    </row>
    <row r="20">
      <c r="A20" s="0" t="inlineStr">
        <is>
          <t>P/L 分錄加總</t>
        </is>
      </c>
      <c r="B20" s="215">
        <f>SUMIF($H$4:$H$47,"4",$I$4:$I$47)+SUMIF($H$4:$H$47,"5",$I$4:$I$47)+SUMIF($H$4:$H$47,"6",$I$4:$I$47)</f>
        <v/>
      </c>
      <c r="C20" s="215">
        <f>SUMIF($K$4:$K$47,"4",$L$4:$L$47)+SUMIF($K$4:$K$47,"5",$L$4:$L$47)+SUMIF($K$4:$K$47,"6",$L$4:$L$47)</f>
        <v/>
      </c>
      <c r="D20" s="215">
        <f>SUMIF($N$4:$N$47,"4",$O$4:$O$47)+SUMIF($N$4:$N$47,"5",$O$4:$O$47)+SUMIF($N$4:$N$47,"6",$O$4:$O$47)</f>
        <v/>
      </c>
      <c r="E20" s="215">
        <f>SUMIF($Q$4:$Q$47,"4",$R$4:$R$47)+SUMIF($Q$4:$Q$47,"5",$R$4:$R$47)+SUMIF($Q$4:$Q$47,"6",$R$4:$R$47)</f>
        <v/>
      </c>
      <c r="H20" s="0">
        <f>IF('工作表1'!D20="","",LEFT('工作表1'!D20,1))</f>
        <v/>
      </c>
      <c r="I20" s="0">
        <f>IF(ISNUMBER('工作表1'!F20),'工作表1'!F20,0)</f>
        <v/>
      </c>
      <c r="J20" s="0">
        <f>IF('工作表1'!D20="",0,IF(COUNTIF('工作表1'!$C$50:$C$68,'工作表1'!D20)&gt;0,0,1))</f>
        <v/>
      </c>
      <c r="K20" s="0">
        <f>IF('工作表1'!I20="","",LEFT('工作表1'!I20,1))</f>
        <v/>
      </c>
      <c r="L20" s="0">
        <f>IF(ISNUMBER('工作表1'!K20),'工作表1'!K20,0)</f>
        <v/>
      </c>
      <c r="M20" s="0">
        <f>IF('工作表1'!I20="",0,IF(COUNTIF('工作表1'!$H$50:$H$68,'工作表1'!I20)&gt;0,0,1))</f>
        <v/>
      </c>
      <c r="N20" s="0">
        <f>IF('工作表1'!N20="","",LEFT('工作表1'!N20,1))</f>
        <v/>
      </c>
      <c r="O20" s="0">
        <f>IF(ISNUMBER('工作表1'!P20),'工作表1'!P20,0)</f>
        <v/>
      </c>
      <c r="P20" s="0">
        <f>IF('工作表1'!N20="",0,IF(COUNTIF('工作表1'!$M$50:$M$68,'工作表1'!N20)&gt;0,0,1))</f>
        <v/>
      </c>
      <c r="Q20" s="0">
        <f>IF('工作表1'!S20="","",LEFT('工作表1'!S20,1))</f>
        <v/>
      </c>
      <c r="R20" s="0">
        <f>IF(ISNUMBER('工作表1'!U20),'工作表1'!U20,0)</f>
        <v/>
      </c>
      <c r="S20" s="0">
        <f>IF('工作表1'!S20="",0,IF(COUNTIF('工作表1'!$R$50:$R$68,'工作表1'!S20)&gt;0,0,1))</f>
        <v/>
      </c>
    </row>
    <row r="21">
      <c r="A21" s="0" t="inlineStr">
        <is>
          <t>P/L 期末總結(總計欄58)</t>
        </is>
      </c>
      <c r="B21" s="215">
        <f>'工作表1'!F58</f>
        <v/>
      </c>
      <c r="C21" s="215">
        <f>'工作表1'!K58</f>
        <v/>
      </c>
      <c r="D21" s="215">
        <f>'工作表1'!P58</f>
        <v/>
      </c>
      <c r="E21" s="215">
        <f>'工作表1'!U58</f>
        <v/>
      </c>
      <c r="H21" s="0">
        <f>IF('工作表1'!D21="","",LEFT('工作表1'!D21,1))</f>
        <v/>
      </c>
      <c r="I21" s="0">
        <f>IF(ISNUMBER('工作表1'!F21),'工作表1'!F21,0)</f>
        <v/>
      </c>
      <c r="J21" s="0">
        <f>IF('工作表1'!D21="",0,IF(COUNTIF('工作表1'!$C$50:$C$68,'工作表1'!D21)&gt;0,0,1))</f>
        <v/>
      </c>
      <c r="K21" s="0">
        <f>IF('工作表1'!I21="","",LEFT('工作表1'!I21,1))</f>
        <v/>
      </c>
      <c r="L21" s="0">
        <f>IF(ISNUMBER('工作表1'!K21),'工作表1'!K21,0)</f>
        <v/>
      </c>
      <c r="M21" s="0">
        <f>IF('工作表1'!I21="",0,IF(COUNTIF('工作表1'!$H$50:$H$68,'工作表1'!I21)&gt;0,0,1))</f>
        <v/>
      </c>
      <c r="N21" s="0">
        <f>IF('工作表1'!N21="","",LEFT('工作表1'!N21,1))</f>
        <v/>
      </c>
      <c r="O21" s="0">
        <f>IF(ISNUMBER('工作表1'!P21),'工作表1'!P21,0)</f>
        <v/>
      </c>
      <c r="P21" s="0">
        <f>IF('工作表1'!N21="",0,IF(COUNTIF('工作表1'!$M$50:$M$68,'工作表1'!N21)&gt;0,0,1))</f>
        <v/>
      </c>
      <c r="Q21" s="0">
        <f>IF('工作表1'!S21="","",LEFT('工作表1'!S21,1))</f>
        <v/>
      </c>
      <c r="R21" s="0">
        <f>IF(ISNUMBER('工作表1'!U21),'工作表1'!U21,0)</f>
        <v/>
      </c>
      <c r="S21" s="0">
        <f>IF('工作表1'!S21="",0,IF(COUNTIF('工作表1'!$R$50:$R$68,'工作表1'!S21)&gt;0,0,1))</f>
        <v/>
      </c>
    </row>
    <row r="22">
      <c r="A22" s="0" t="inlineStr">
        <is>
          <t>B/S 差異</t>
        </is>
      </c>
      <c r="B22" s="215">
        <f>B19-B18</f>
        <v/>
      </c>
      <c r="C22" s="215">
        <f>C19-C18</f>
        <v/>
      </c>
      <c r="D22" s="215">
        <f>D19-D18</f>
        <v/>
      </c>
      <c r="E22" s="215">
        <f>E19-E18</f>
        <v/>
      </c>
      <c r="H22" s="0">
        <f>IF('工作表1'!D22="","",LEFT('工作表1'!D22,1))</f>
        <v/>
      </c>
      <c r="I22" s="0">
        <f>IF(ISNUMBER('工作表1'!F22),'工作表1'!F22,0)</f>
        <v/>
      </c>
      <c r="J22" s="0">
        <f>IF('工作表1'!D22="",0,IF(COUNTIF('工作表1'!$C$50:$C$68,'工作表1'!D22)&gt;0,0,1))</f>
        <v/>
      </c>
      <c r="K22" s="0">
        <f>IF('工作表1'!I22="","",LEFT('工作表1'!I22,1))</f>
        <v/>
      </c>
      <c r="L22" s="0">
        <f>IF(ISNUMBER('工作表1'!K22),'工作表1'!K22,0)</f>
        <v/>
      </c>
      <c r="M22" s="0">
        <f>IF('工作表1'!I22="",0,IF(COUNTIF('工作表1'!$H$50:$H$68,'工作表1'!I22)&gt;0,0,1))</f>
        <v/>
      </c>
      <c r="N22" s="0">
        <f>IF('工作表1'!N22="","",LEFT('工作表1'!N22,1))</f>
        <v/>
      </c>
      <c r="O22" s="0">
        <f>IF(ISNUMBER('工作表1'!P22),'工作表1'!P22,0)</f>
        <v/>
      </c>
      <c r="P22" s="0">
        <f>IF('工作表1'!N22="",0,IF(COUNTIF('工作表1'!$M$50:$M$68,'工作表1'!N22)&gt;0,0,1))</f>
        <v/>
      </c>
      <c r="Q22" s="0">
        <f>IF('工作表1'!S22="","",LEFT('工作表1'!S22,1))</f>
        <v/>
      </c>
      <c r="R22" s="0">
        <f>IF(ISNUMBER('工作表1'!U22),'工作表1'!U22,0)</f>
        <v/>
      </c>
      <c r="S22" s="0">
        <f>IF('工作表1'!S22="",0,IF(COUNTIF('工作表1'!$R$50:$R$68,'工作表1'!S22)&gt;0,0,1))</f>
        <v/>
      </c>
    </row>
    <row r="23">
      <c r="A23" s="0" t="inlineStr">
        <is>
          <t>P/L 差異</t>
        </is>
      </c>
      <c r="B23" s="215">
        <f>B21-B20</f>
        <v/>
      </c>
      <c r="C23" s="215">
        <f>C21-C20</f>
        <v/>
      </c>
      <c r="D23" s="215">
        <f>D21-D20</f>
        <v/>
      </c>
      <c r="E23" s="215">
        <f>E21-E20</f>
        <v/>
      </c>
      <c r="H23" s="0" t="inlineStr"/>
      <c r="I23" s="0" t="n">
        <v>0</v>
      </c>
      <c r="J23" s="0" t="n">
        <v>0</v>
      </c>
      <c r="K23" s="0" t="inlineStr"/>
      <c r="L23" s="0" t="n">
        <v>0</v>
      </c>
      <c r="M23" s="0" t="n">
        <v>0</v>
      </c>
      <c r="N23" s="0" t="inlineStr"/>
      <c r="O23" s="0" t="n">
        <v>0</v>
      </c>
      <c r="P23" s="0" t="n">
        <v>0</v>
      </c>
      <c r="Q23" s="0" t="inlineStr"/>
      <c r="R23" s="0" t="n">
        <v>0</v>
      </c>
      <c r="S23" s="0" t="n">
        <v>0</v>
      </c>
    </row>
    <row r="24">
      <c r="A24" s="0" t="inlineStr">
        <is>
          <t>B/S+P/L(應為0)</t>
        </is>
      </c>
      <c r="B24" s="215">
        <f>B19+B21</f>
        <v/>
      </c>
      <c r="C24" s="215">
        <f>C19+C21</f>
        <v/>
      </c>
      <c r="D24" s="215">
        <f>D19+D21</f>
        <v/>
      </c>
      <c r="E24" s="215">
        <f>E19+E21</f>
        <v/>
      </c>
      <c r="H24" s="0" t="inlineStr"/>
      <c r="I24" s="0" t="n">
        <v>0</v>
      </c>
      <c r="J24" s="0" t="n">
        <v>0</v>
      </c>
      <c r="K24" s="0" t="inlineStr"/>
      <c r="L24" s="0" t="n">
        <v>0</v>
      </c>
      <c r="M24" s="0" t="n">
        <v>0</v>
      </c>
      <c r="N24" s="0" t="inlineStr"/>
      <c r="O24" s="0" t="n">
        <v>0</v>
      </c>
      <c r="P24" s="0" t="n">
        <v>0</v>
      </c>
      <c r="Q24" s="0" t="inlineStr"/>
      <c r="R24" s="0" t="n">
        <v>0</v>
      </c>
      <c r="S24" s="0" t="n">
        <v>0</v>
      </c>
    </row>
    <row r="25">
      <c r="A25" s="0" t="inlineStr">
        <is>
          <t>B 結果</t>
        </is>
      </c>
      <c r="B25" s="214">
        <f>IF(AND(ABS(B22)&lt;0.000001,ABS(B23)&lt;0.000001,ABS(B24)&lt;0.000001),"OK","不符")</f>
        <v/>
      </c>
      <c r="C25" s="214">
        <f>IF(AND(ABS(C22)&lt;0.000001,ABS(C23)&lt;0.000001,ABS(C24)&lt;0.000001),"OK","不符")</f>
        <v/>
      </c>
      <c r="D25" s="214">
        <f>IF(AND(ABS(D22)&lt;0.000001,ABS(D23)&lt;0.000001,ABS(D24)&lt;0.000001),"OK","不符")</f>
        <v/>
      </c>
      <c r="E25" s="214">
        <f>IF(AND(ABS(E22)&lt;0.000001,ABS(E23)&lt;0.000001,ABS(E24)&lt;0.000001),"OK","不符")</f>
        <v/>
      </c>
      <c r="H25" s="0" t="inlineStr"/>
      <c r="I25" s="0" t="n">
        <v>0</v>
      </c>
      <c r="J25" s="0" t="n">
        <v>0</v>
      </c>
      <c r="K25" s="0" t="inlineStr"/>
      <c r="L25" s="0" t="n">
        <v>0</v>
      </c>
      <c r="M25" s="0" t="n">
        <v>0</v>
      </c>
      <c r="N25" s="0" t="inlineStr"/>
      <c r="O25" s="0" t="n">
        <v>0</v>
      </c>
      <c r="P25" s="0" t="n">
        <v>0</v>
      </c>
      <c r="Q25" s="0" t="inlineStr"/>
      <c r="R25" s="0" t="n">
        <v>0</v>
      </c>
      <c r="S25" s="0" t="n">
        <v>0</v>
      </c>
    </row>
    <row r="26">
      <c r="A26" s="0" t="inlineStr">
        <is>
          <t>C. BIM分錄科目未列入期末總結的行數</t>
        </is>
      </c>
      <c r="B26" s="0">
        <f>SUM($J$4:$J$47)</f>
        <v/>
      </c>
      <c r="C26" s="0">
        <f>SUM($M$4:$M$47)</f>
        <v/>
      </c>
      <c r="D26" s="0">
        <f>SUM($P$4:$P$47)</f>
        <v/>
      </c>
      <c r="E26" s="0">
        <f>SUM($S$4:$S$47)</f>
        <v/>
      </c>
      <c r="H26" s="0" t="inlineStr"/>
      <c r="I26" s="0" t="n">
        <v>0</v>
      </c>
      <c r="J26" s="0" t="n">
        <v>0</v>
      </c>
      <c r="K26" s="0" t="inlineStr"/>
      <c r="L26" s="0" t="n">
        <v>0</v>
      </c>
      <c r="M26" s="0" t="n">
        <v>0</v>
      </c>
      <c r="N26" s="0" t="inlineStr"/>
      <c r="O26" s="0" t="n">
        <v>0</v>
      </c>
      <c r="P26" s="0" t="n">
        <v>0</v>
      </c>
      <c r="Q26" s="0" t="inlineStr"/>
      <c r="R26" s="0" t="n">
        <v>0</v>
      </c>
      <c r="S26" s="0" t="n">
        <v>0</v>
      </c>
    </row>
    <row r="27">
      <c r="A27" s="0" t="inlineStr">
        <is>
          <t>C 結果</t>
        </is>
      </c>
      <c r="B27" s="214">
        <f>IF(B26=0,"OK","有漏列")</f>
        <v/>
      </c>
      <c r="C27" s="214">
        <f>IF(C26=0,"OK","有漏列")</f>
        <v/>
      </c>
      <c r="D27" s="214">
        <f>IF(D26=0,"OK","有漏列")</f>
        <v/>
      </c>
      <c r="E27" s="214">
        <f>IF(E26=0,"OK","有漏列")</f>
        <v/>
      </c>
      <c r="H27" s="0" t="inlineStr"/>
      <c r="I27" s="0" t="n">
        <v>0</v>
      </c>
      <c r="J27" s="0" t="n">
        <v>0</v>
      </c>
      <c r="K27" s="0" t="inlineStr"/>
      <c r="L27" s="0" t="n">
        <v>0</v>
      </c>
      <c r="M27" s="0" t="n">
        <v>0</v>
      </c>
      <c r="N27" s="0" t="inlineStr"/>
      <c r="O27" s="0" t="n">
        <v>0</v>
      </c>
      <c r="P27" s="0" t="n">
        <v>0</v>
      </c>
      <c r="Q27" s="0" t="inlineStr"/>
      <c r="R27" s="0" t="n">
        <v>0</v>
      </c>
      <c r="S27" s="0" t="n">
        <v>0</v>
      </c>
    </row>
    <row r="28">
      <c r="H28" s="0" t="inlineStr"/>
      <c r="I28" s="0" t="n">
        <v>0</v>
      </c>
      <c r="J28" s="0" t="n">
        <v>0</v>
      </c>
      <c r="K28" s="0" t="inlineStr"/>
      <c r="L28" s="0" t="n">
        <v>0</v>
      </c>
      <c r="M28" s="0" t="n">
        <v>0</v>
      </c>
      <c r="N28" s="0" t="inlineStr"/>
      <c r="O28" s="0" t="n">
        <v>0</v>
      </c>
      <c r="P28" s="0" t="n">
        <v>0</v>
      </c>
      <c r="Q28" s="0" t="inlineStr"/>
      <c r="R28" s="0" t="n">
        <v>0</v>
      </c>
      <c r="S28" s="0" t="n">
        <v>0</v>
      </c>
    </row>
    <row r="29">
      <c r="H29" s="0" t="inlineStr"/>
      <c r="I29" s="0" t="n">
        <v>0</v>
      </c>
      <c r="J29" s="0" t="n">
        <v>0</v>
      </c>
      <c r="K29" s="0" t="inlineStr"/>
      <c r="L29" s="0" t="n">
        <v>0</v>
      </c>
      <c r="M29" s="0" t="n">
        <v>0</v>
      </c>
      <c r="N29" s="0" t="inlineStr"/>
      <c r="O29" s="0" t="n">
        <v>0</v>
      </c>
      <c r="P29" s="0" t="n">
        <v>0</v>
      </c>
      <c r="Q29" s="0" t="inlineStr"/>
      <c r="R29" s="0" t="n">
        <v>0</v>
      </c>
      <c r="S29" s="0" t="n">
        <v>0</v>
      </c>
    </row>
    <row r="30">
      <c r="H30" s="0" t="inlineStr"/>
      <c r="I30" s="0" t="n">
        <v>0</v>
      </c>
      <c r="J30" s="0" t="n">
        <v>0</v>
      </c>
      <c r="K30" s="0" t="inlineStr"/>
      <c r="L30" s="0" t="n">
        <v>0</v>
      </c>
      <c r="M30" s="0" t="n">
        <v>0</v>
      </c>
      <c r="N30" s="0" t="inlineStr"/>
      <c r="O30" s="0" t="n">
        <v>0</v>
      </c>
      <c r="P30" s="0" t="n">
        <v>0</v>
      </c>
      <c r="Q30" s="0" t="inlineStr"/>
      <c r="R30" s="0" t="n">
        <v>0</v>
      </c>
      <c r="S30" s="0" t="n">
        <v>0</v>
      </c>
    </row>
    <row r="31">
      <c r="H31" s="0">
        <f>IF('工作表1'!D31="","",LEFT('工作表1'!D31,1))</f>
        <v/>
      </c>
      <c r="I31" s="0">
        <f>IF(ISNUMBER('工作表1'!F31),'工作表1'!F31,0)</f>
        <v/>
      </c>
      <c r="J31" s="0">
        <f>IF('工作表1'!D31="",0,IF(COUNTIF('工作表1'!$C$50:$C$68,'工作表1'!D31)&gt;0,0,1))</f>
        <v/>
      </c>
      <c r="K31" s="0">
        <f>IF('工作表1'!I31="","",LEFT('工作表1'!I31,1))</f>
        <v/>
      </c>
      <c r="L31" s="0">
        <f>IF(ISNUMBER('工作表1'!K31),'工作表1'!K31,0)</f>
        <v/>
      </c>
      <c r="M31" s="0">
        <f>IF('工作表1'!I31="",0,IF(COUNTIF('工作表1'!$H$50:$H$68,'工作表1'!I31)&gt;0,0,1))</f>
        <v/>
      </c>
      <c r="N31" s="0">
        <f>IF('工作表1'!N31="","",LEFT('工作表1'!N31,1))</f>
        <v/>
      </c>
      <c r="O31" s="0">
        <f>IF(ISNUMBER('工作表1'!P31),'工作表1'!P31,0)</f>
        <v/>
      </c>
      <c r="P31" s="0">
        <f>IF('工作表1'!N31="",0,IF(COUNTIF('工作表1'!$M$50:$M$68,'工作表1'!N31)&gt;0,0,1))</f>
        <v/>
      </c>
      <c r="Q31" s="0">
        <f>IF('工作表1'!S31="","",LEFT('工作表1'!S31,1))</f>
        <v/>
      </c>
      <c r="R31" s="0">
        <f>IF(ISNUMBER('工作表1'!U31),'工作表1'!U31,0)</f>
        <v/>
      </c>
      <c r="S31" s="0">
        <f>IF('工作表1'!S31="",0,IF(COUNTIF('工作表1'!$R$50:$R$68,'工作表1'!S31)&gt;0,0,1))</f>
        <v/>
      </c>
    </row>
    <row r="32">
      <c r="H32" s="0">
        <f>IF('工作表1'!D32="","",LEFT('工作表1'!D32,1))</f>
        <v/>
      </c>
      <c r="I32" s="0">
        <f>IF(ISNUMBER('工作表1'!F32),'工作表1'!F32,0)</f>
        <v/>
      </c>
      <c r="J32" s="0">
        <f>IF('工作表1'!D32="",0,IF(COUNTIF('工作表1'!$C$50:$C$68,'工作表1'!D32)&gt;0,0,1))</f>
        <v/>
      </c>
      <c r="K32" s="0">
        <f>IF('工作表1'!I32="","",LEFT('工作表1'!I32,1))</f>
        <v/>
      </c>
      <c r="L32" s="0">
        <f>IF(ISNUMBER('工作表1'!K32),'工作表1'!K32,0)</f>
        <v/>
      </c>
      <c r="M32" s="0">
        <f>IF('工作表1'!I32="",0,IF(COUNTIF('工作表1'!$H$50:$H$68,'工作表1'!I32)&gt;0,0,1))</f>
        <v/>
      </c>
      <c r="N32" s="0">
        <f>IF('工作表1'!N32="","",LEFT('工作表1'!N32,1))</f>
        <v/>
      </c>
      <c r="O32" s="0">
        <f>IF(ISNUMBER('工作表1'!P32),'工作表1'!P32,0)</f>
        <v/>
      </c>
      <c r="P32" s="0">
        <f>IF('工作表1'!N32="",0,IF(COUNTIF('工作表1'!$M$50:$M$68,'工作表1'!N32)&gt;0,0,1))</f>
        <v/>
      </c>
      <c r="Q32" s="0">
        <f>IF('工作表1'!S32="","",LEFT('工作表1'!S32,1))</f>
        <v/>
      </c>
      <c r="R32" s="0">
        <f>IF(ISNUMBER('工作表1'!U32),'工作表1'!U32,0)</f>
        <v/>
      </c>
      <c r="S32" s="0">
        <f>IF('工作表1'!S32="",0,IF(COUNTIF('工作表1'!$R$50:$R$68,'工作表1'!S32)&gt;0,0,1))</f>
        <v/>
      </c>
    </row>
    <row r="33">
      <c r="H33" s="0">
        <f>IF('工作表1'!D33="","",LEFT('工作表1'!D33,1))</f>
        <v/>
      </c>
      <c r="I33" s="0">
        <f>IF(ISNUMBER('工作表1'!F33),'工作表1'!F33,0)</f>
        <v/>
      </c>
      <c r="J33" s="0">
        <f>IF('工作表1'!D33="",0,IF(COUNTIF('工作表1'!$C$50:$C$68,'工作表1'!D33)&gt;0,0,1))</f>
        <v/>
      </c>
      <c r="K33" s="0">
        <f>IF('工作表1'!I33="","",LEFT('工作表1'!I33,1))</f>
        <v/>
      </c>
      <c r="L33" s="0">
        <f>IF(ISNUMBER('工作表1'!K33),'工作表1'!K33,0)</f>
        <v/>
      </c>
      <c r="M33" s="0">
        <f>IF('工作表1'!I33="",0,IF(COUNTIF('工作表1'!$H$50:$H$68,'工作表1'!I33)&gt;0,0,1))</f>
        <v/>
      </c>
      <c r="N33" s="0">
        <f>IF('工作表1'!N33="","",LEFT('工作表1'!N33,1))</f>
        <v/>
      </c>
      <c r="O33" s="0">
        <f>IF(ISNUMBER('工作表1'!P33),'工作表1'!P33,0)</f>
        <v/>
      </c>
      <c r="P33" s="0">
        <f>IF('工作表1'!N33="",0,IF(COUNTIF('工作表1'!$M$50:$M$68,'工作表1'!N33)&gt;0,0,1))</f>
        <v/>
      </c>
      <c r="Q33" s="0">
        <f>IF('工作表1'!S33="","",LEFT('工作表1'!S33,1))</f>
        <v/>
      </c>
      <c r="R33" s="0">
        <f>IF(ISNUMBER('工作表1'!U33),'工作表1'!U33,0)</f>
        <v/>
      </c>
      <c r="S33" s="0">
        <f>IF('工作表1'!S33="",0,IF(COUNTIF('工作表1'!$R$50:$R$68,'工作表1'!S33)&gt;0,0,1))</f>
        <v/>
      </c>
    </row>
    <row r="34">
      <c r="H34" s="0" t="inlineStr"/>
      <c r="I34" s="0" t="n">
        <v>0</v>
      </c>
      <c r="J34" s="0" t="n">
        <v>0</v>
      </c>
      <c r="K34" s="0" t="inlineStr"/>
      <c r="L34" s="0" t="n">
        <v>0</v>
      </c>
      <c r="M34" s="0" t="n">
        <v>0</v>
      </c>
      <c r="N34" s="0" t="inlineStr"/>
      <c r="O34" s="0" t="n">
        <v>0</v>
      </c>
      <c r="P34" s="0" t="n">
        <v>0</v>
      </c>
      <c r="Q34" s="0" t="inlineStr"/>
      <c r="R34" s="0" t="n">
        <v>0</v>
      </c>
      <c r="S34" s="0" t="n">
        <v>0</v>
      </c>
    </row>
    <row r="35">
      <c r="H35" s="0" t="inlineStr"/>
      <c r="I35" s="0" t="n">
        <v>0</v>
      </c>
      <c r="J35" s="0" t="n">
        <v>0</v>
      </c>
      <c r="K35" s="0" t="inlineStr"/>
      <c r="L35" s="0" t="n">
        <v>0</v>
      </c>
      <c r="M35" s="0" t="n">
        <v>0</v>
      </c>
      <c r="N35" s="0" t="inlineStr"/>
      <c r="O35" s="0" t="n">
        <v>0</v>
      </c>
      <c r="P35" s="0" t="n">
        <v>0</v>
      </c>
      <c r="Q35" s="0" t="inlineStr"/>
      <c r="R35" s="0" t="n">
        <v>0</v>
      </c>
      <c r="S35" s="0" t="n">
        <v>0</v>
      </c>
    </row>
    <row r="36">
      <c r="H36" s="0" t="inlineStr"/>
      <c r="I36" s="0" t="n">
        <v>0</v>
      </c>
      <c r="J36" s="0" t="n">
        <v>0</v>
      </c>
      <c r="K36" s="0" t="inlineStr"/>
      <c r="L36" s="0" t="n">
        <v>0</v>
      </c>
      <c r="M36" s="0" t="n">
        <v>0</v>
      </c>
      <c r="N36" s="0" t="inlineStr"/>
      <c r="O36" s="0" t="n">
        <v>0</v>
      </c>
      <c r="P36" s="0" t="n">
        <v>0</v>
      </c>
      <c r="Q36" s="0" t="inlineStr"/>
      <c r="R36" s="0" t="n">
        <v>0</v>
      </c>
      <c r="S36" s="0" t="n">
        <v>0</v>
      </c>
    </row>
    <row r="37">
      <c r="H37" s="0" t="inlineStr"/>
      <c r="I37" s="0" t="n">
        <v>0</v>
      </c>
      <c r="J37" s="0" t="n">
        <v>0</v>
      </c>
      <c r="K37" s="0" t="inlineStr"/>
      <c r="L37" s="0" t="n">
        <v>0</v>
      </c>
      <c r="M37" s="0" t="n">
        <v>0</v>
      </c>
      <c r="N37" s="0" t="inlineStr"/>
      <c r="O37" s="0" t="n">
        <v>0</v>
      </c>
      <c r="P37" s="0" t="n">
        <v>0</v>
      </c>
      <c r="Q37" s="0" t="inlineStr"/>
      <c r="R37" s="0" t="n">
        <v>0</v>
      </c>
      <c r="S37" s="0" t="n">
        <v>0</v>
      </c>
    </row>
    <row r="38">
      <c r="H38" s="0" t="inlineStr"/>
      <c r="I38" s="0" t="n">
        <v>0</v>
      </c>
      <c r="J38" s="0" t="n">
        <v>0</v>
      </c>
      <c r="K38" s="0" t="inlineStr"/>
      <c r="L38" s="0" t="n">
        <v>0</v>
      </c>
      <c r="M38" s="0" t="n">
        <v>0</v>
      </c>
      <c r="N38" s="0" t="inlineStr"/>
      <c r="O38" s="0" t="n">
        <v>0</v>
      </c>
      <c r="P38" s="0" t="n">
        <v>0</v>
      </c>
      <c r="Q38" s="0" t="inlineStr"/>
      <c r="R38" s="0" t="n">
        <v>0</v>
      </c>
      <c r="S38" s="0" t="n">
        <v>0</v>
      </c>
    </row>
    <row r="39">
      <c r="H39" s="0" t="inlineStr"/>
      <c r="I39" s="0" t="n">
        <v>0</v>
      </c>
      <c r="J39" s="0" t="n">
        <v>0</v>
      </c>
      <c r="K39" s="0" t="inlineStr"/>
      <c r="L39" s="0" t="n">
        <v>0</v>
      </c>
      <c r="M39" s="0" t="n">
        <v>0</v>
      </c>
      <c r="N39" s="0" t="inlineStr"/>
      <c r="O39" s="0" t="n">
        <v>0</v>
      </c>
      <c r="P39" s="0" t="n">
        <v>0</v>
      </c>
      <c r="Q39" s="0" t="inlineStr"/>
      <c r="R39" s="0" t="n">
        <v>0</v>
      </c>
      <c r="S39" s="0" t="n">
        <v>0</v>
      </c>
    </row>
    <row r="40">
      <c r="H40" s="0" t="inlineStr"/>
      <c r="I40" s="0" t="n">
        <v>0</v>
      </c>
      <c r="J40" s="0" t="n">
        <v>0</v>
      </c>
      <c r="K40" s="0" t="inlineStr"/>
      <c r="L40" s="0" t="n">
        <v>0</v>
      </c>
      <c r="M40" s="0" t="n">
        <v>0</v>
      </c>
      <c r="N40" s="0" t="inlineStr"/>
      <c r="O40" s="0" t="n">
        <v>0</v>
      </c>
      <c r="P40" s="0" t="n">
        <v>0</v>
      </c>
      <c r="Q40" s="0" t="inlineStr"/>
      <c r="R40" s="0" t="n">
        <v>0</v>
      </c>
      <c r="S40" s="0" t="n">
        <v>0</v>
      </c>
    </row>
    <row r="41">
      <c r="H41" s="0" t="inlineStr"/>
      <c r="I41" s="0" t="n">
        <v>0</v>
      </c>
      <c r="J41" s="0" t="n">
        <v>0</v>
      </c>
      <c r="K41" s="0" t="inlineStr"/>
      <c r="L41" s="0" t="n">
        <v>0</v>
      </c>
      <c r="M41" s="0" t="n">
        <v>0</v>
      </c>
      <c r="N41" s="0" t="inlineStr"/>
      <c r="O41" s="0" t="n">
        <v>0</v>
      </c>
      <c r="P41" s="0" t="n">
        <v>0</v>
      </c>
      <c r="Q41" s="0" t="inlineStr"/>
      <c r="R41" s="0" t="n">
        <v>0</v>
      </c>
      <c r="S41" s="0" t="n">
        <v>0</v>
      </c>
    </row>
    <row r="42">
      <c r="H42" s="0">
        <f>IF('工作表1'!D42="","",LEFT('工作表1'!D42,1))</f>
        <v/>
      </c>
      <c r="I42" s="0">
        <f>IF(ISNUMBER('工作表1'!F42),'工作表1'!F42,0)</f>
        <v/>
      </c>
      <c r="J42" s="0">
        <f>IF('工作表1'!D42="",0,IF(COUNTIF('工作表1'!$C$50:$C$68,'工作表1'!D42)&gt;0,0,1))</f>
        <v/>
      </c>
      <c r="K42" s="0">
        <f>IF('工作表1'!I42="","",LEFT('工作表1'!I42,1))</f>
        <v/>
      </c>
      <c r="L42" s="0">
        <f>IF(ISNUMBER('工作表1'!K42),'工作表1'!K42,0)</f>
        <v/>
      </c>
      <c r="M42" s="0">
        <f>IF('工作表1'!I42="",0,IF(COUNTIF('工作表1'!$H$50:$H$68,'工作表1'!I42)&gt;0,0,1))</f>
        <v/>
      </c>
      <c r="N42" s="0">
        <f>IF('工作表1'!N42="","",LEFT('工作表1'!N42,1))</f>
        <v/>
      </c>
      <c r="O42" s="0">
        <f>IF(ISNUMBER('工作表1'!P42),'工作表1'!P42,0)</f>
        <v/>
      </c>
      <c r="P42" s="0">
        <f>IF('工作表1'!N42="",0,IF(COUNTIF('工作表1'!$M$50:$M$68,'工作表1'!N42)&gt;0,0,1))</f>
        <v/>
      </c>
      <c r="Q42" s="0">
        <f>IF('工作表1'!S42="","",LEFT('工作表1'!S42,1))</f>
        <v/>
      </c>
      <c r="R42" s="0">
        <f>IF(ISNUMBER('工作表1'!U42),'工作表1'!U42,0)</f>
        <v/>
      </c>
      <c r="S42" s="0">
        <f>IF('工作表1'!S42="",0,IF(COUNTIF('工作表1'!$R$50:$R$68,'工作表1'!S42)&gt;0,0,1))</f>
        <v/>
      </c>
    </row>
    <row r="43">
      <c r="H43" s="0">
        <f>IF('工作表1'!D43="","",LEFT('工作表1'!D43,1))</f>
        <v/>
      </c>
      <c r="I43" s="0">
        <f>IF(ISNUMBER('工作表1'!F43),'工作表1'!F43,0)</f>
        <v/>
      </c>
      <c r="J43" s="0">
        <f>IF('工作表1'!D43="",0,IF(COUNTIF('工作表1'!$C$50:$C$68,'工作表1'!D43)&gt;0,0,1))</f>
        <v/>
      </c>
      <c r="K43" s="0">
        <f>IF('工作表1'!I43="","",LEFT('工作表1'!I43,1))</f>
        <v/>
      </c>
      <c r="L43" s="0">
        <f>IF(ISNUMBER('工作表1'!K43),'工作表1'!K43,0)</f>
        <v/>
      </c>
      <c r="M43" s="0">
        <f>IF('工作表1'!I43="",0,IF(COUNTIF('工作表1'!$H$50:$H$68,'工作表1'!I43)&gt;0,0,1))</f>
        <v/>
      </c>
      <c r="N43" s="0">
        <f>IF('工作表1'!N43="","",LEFT('工作表1'!N43,1))</f>
        <v/>
      </c>
      <c r="O43" s="0">
        <f>IF(ISNUMBER('工作表1'!P43),'工作表1'!P43,0)</f>
        <v/>
      </c>
      <c r="P43" s="0">
        <f>IF('工作表1'!N43="",0,IF(COUNTIF('工作表1'!$M$50:$M$68,'工作表1'!N43)&gt;0,0,1))</f>
        <v/>
      </c>
      <c r="Q43" s="0">
        <f>IF('工作表1'!S43="","",LEFT('工作表1'!S43,1))</f>
        <v/>
      </c>
      <c r="R43" s="0">
        <f>IF(ISNUMBER('工作表1'!U43),'工作表1'!U43,0)</f>
        <v/>
      </c>
      <c r="S43" s="0">
        <f>IF('工作表1'!S43="",0,IF(COUNTIF('工作表1'!$R$50:$R$68,'工作表1'!S43)&gt;0,0,1))</f>
        <v/>
      </c>
    </row>
    <row r="44">
      <c r="H44" s="0">
        <f>IF('工作表1'!D44="","",LEFT('工作表1'!D44,1))</f>
        <v/>
      </c>
      <c r="I44" s="0">
        <f>IF(ISNUMBER('工作表1'!F44),'工作表1'!F44,0)</f>
        <v/>
      </c>
      <c r="J44" s="0">
        <f>IF('工作表1'!D44="",0,IF(COUNTIF('工作表1'!$C$50:$C$68,'工作表1'!D44)&gt;0,0,1))</f>
        <v/>
      </c>
      <c r="K44" s="0">
        <f>IF('工作表1'!I44="","",LEFT('工作表1'!I44,1))</f>
        <v/>
      </c>
      <c r="L44" s="0">
        <f>IF(ISNUMBER('工作表1'!K44),'工作表1'!K44,0)</f>
        <v/>
      </c>
      <c r="M44" s="0">
        <f>IF('工作表1'!I44="",0,IF(COUNTIF('工作表1'!$H$50:$H$68,'工作表1'!I44)&gt;0,0,1))</f>
        <v/>
      </c>
      <c r="N44" s="0">
        <f>IF('工作表1'!N44="","",LEFT('工作表1'!N44,1))</f>
        <v/>
      </c>
      <c r="O44" s="0">
        <f>IF(ISNUMBER('工作表1'!P44),'工作表1'!P44,0)</f>
        <v/>
      </c>
      <c r="P44" s="0">
        <f>IF('工作表1'!N44="",0,IF(COUNTIF('工作表1'!$M$50:$M$68,'工作表1'!N44)&gt;0,0,1))</f>
        <v/>
      </c>
      <c r="Q44" s="0">
        <f>IF('工作表1'!S44="","",LEFT('工作表1'!S44,1))</f>
        <v/>
      </c>
      <c r="R44" s="0">
        <f>IF(ISNUMBER('工作表1'!U44),'工作表1'!U44,0)</f>
        <v/>
      </c>
      <c r="S44" s="0">
        <f>IF('工作表1'!S44="",0,IF(COUNTIF('工作表1'!$R$50:$R$68,'工作表1'!S44)&gt;0,0,1))</f>
        <v/>
      </c>
    </row>
    <row r="45">
      <c r="H45" s="0">
        <f>IF('工作表1'!D45="","",LEFT('工作表1'!D45,1))</f>
        <v/>
      </c>
      <c r="I45" s="0">
        <f>IF(ISNUMBER('工作表1'!F45),'工作表1'!F45,0)</f>
        <v/>
      </c>
      <c r="J45" s="0">
        <f>IF('工作表1'!D45="",0,IF(COUNTIF('工作表1'!$C$50:$C$68,'工作表1'!D45)&gt;0,0,1))</f>
        <v/>
      </c>
      <c r="K45" s="0">
        <f>IF('工作表1'!I45="","",LEFT('工作表1'!I45,1))</f>
        <v/>
      </c>
      <c r="L45" s="0">
        <f>IF(ISNUMBER('工作表1'!K45),'工作表1'!K45,0)</f>
        <v/>
      </c>
      <c r="M45" s="0">
        <f>IF('工作表1'!I45="",0,IF(COUNTIF('工作表1'!$H$50:$H$68,'工作表1'!I45)&gt;0,0,1))</f>
        <v/>
      </c>
      <c r="N45" s="0">
        <f>IF('工作表1'!N45="","",LEFT('工作表1'!N45,1))</f>
        <v/>
      </c>
      <c r="O45" s="0">
        <f>IF(ISNUMBER('工作表1'!P45),'工作表1'!P45,0)</f>
        <v/>
      </c>
      <c r="P45" s="0">
        <f>IF('工作表1'!N45="",0,IF(COUNTIF('工作表1'!$M$50:$M$68,'工作表1'!N45)&gt;0,0,1))</f>
        <v/>
      </c>
      <c r="Q45" s="0">
        <f>IF('工作表1'!S45="","",LEFT('工作表1'!S45,1))</f>
        <v/>
      </c>
      <c r="R45" s="0">
        <f>IF(ISNUMBER('工作表1'!U45),'工作表1'!U45,0)</f>
        <v/>
      </c>
      <c r="S45" s="0">
        <f>IF('工作表1'!S45="",0,IF(COUNTIF('工作表1'!$R$50:$R$68,'工作表1'!S45)&gt;0,0,1))</f>
        <v/>
      </c>
    </row>
    <row r="46">
      <c r="H46" s="0">
        <f>IF('工作表1'!D46="","",LEFT('工作表1'!D46,1))</f>
        <v/>
      </c>
      <c r="I46" s="0">
        <f>IF(ISNUMBER('工作表1'!F46),'工作表1'!F46,0)</f>
        <v/>
      </c>
      <c r="J46" s="0">
        <f>IF('工作表1'!D46="",0,IF(COUNTIF('工作表1'!$C$50:$C$68,'工作表1'!D46)&gt;0,0,1))</f>
        <v/>
      </c>
      <c r="K46" s="0">
        <f>IF('工作表1'!I46="","",LEFT('工作表1'!I46,1))</f>
        <v/>
      </c>
      <c r="L46" s="0">
        <f>IF(ISNUMBER('工作表1'!K46),'工作表1'!K46,0)</f>
        <v/>
      </c>
      <c r="M46" s="0">
        <f>IF('工作表1'!I46="",0,IF(COUNTIF('工作表1'!$H$50:$H$68,'工作表1'!I46)&gt;0,0,1))</f>
        <v/>
      </c>
      <c r="N46" s="0">
        <f>IF('工作表1'!N46="","",LEFT('工作表1'!N46,1))</f>
        <v/>
      </c>
      <c r="O46" s="0">
        <f>IF(ISNUMBER('工作表1'!P46),'工作表1'!P46,0)</f>
        <v/>
      </c>
      <c r="P46" s="0">
        <f>IF('工作表1'!N46="",0,IF(COUNTIF('工作表1'!$M$50:$M$68,'工作表1'!N46)&gt;0,0,1))</f>
        <v/>
      </c>
      <c r="Q46" s="0">
        <f>IF('工作表1'!S46="","",LEFT('工作表1'!S46,1))</f>
        <v/>
      </c>
      <c r="R46" s="0">
        <f>IF(ISNUMBER('工作表1'!U46),'工作表1'!U46,0)</f>
        <v/>
      </c>
      <c r="S46" s="0">
        <f>IF('工作表1'!S46="",0,IF(COUNTIF('工作表1'!$R$50:$R$68,'工作表1'!S46)&gt;0,0,1))</f>
        <v/>
      </c>
    </row>
    <row r="47">
      <c r="H47" s="0" t="inlineStr"/>
      <c r="I47" s="0" t="n">
        <v>0</v>
      </c>
      <c r="J47" s="0" t="n">
        <v>0</v>
      </c>
      <c r="K47" s="0" t="inlineStr"/>
      <c r="L47" s="0" t="n">
        <v>0</v>
      </c>
      <c r="M47" s="0" t="n">
        <v>0</v>
      </c>
      <c r="N47" s="0" t="inlineStr"/>
      <c r="O47" s="0" t="n">
        <v>0</v>
      </c>
      <c r="P47" s="0" t="n">
        <v>0</v>
      </c>
      <c r="Q47" s="0" t="inlineStr"/>
      <c r="R47" s="0" t="n">
        <v>0</v>
      </c>
      <c r="S47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Arwen Kuo 郭品彣</dc:creator>
  <dcterms:created xsi:type="dcterms:W3CDTF">2026-10-03T04:15:44Z</dcterms:created>
  <dcterms:modified xsi:type="dcterms:W3CDTF">2026-10-03T07:35:59Z</dcterms:modified>
  <cp:lastModifiedBy>Arwen Kuo 郭品彣</cp:lastModifiedBy>
</cp:coreProperties>
</file>